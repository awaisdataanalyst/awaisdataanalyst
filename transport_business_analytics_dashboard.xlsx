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6800"/>
  </bookViews>
  <sheets>
    <sheet name="Dashboard" sheetId="1" r:id="rId1"/>
    <sheet name="Trip Log" sheetId="2" r:id="rId2"/>
    <sheet name="Setup &amp; Lis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<sst xmlns="http://schemas.openxmlformats.org/spreadsheetml/2006/main" count="511" uniqueCount="144">
  <si>
    <t>Transport Business Analytics Dashboard</t>
  </si>
  <si>
    <t>SAMPLE DASHBOARD — replace the Trip Log examples with real trips. Metrics include completed trips from Jan–Jul 2026.</t>
  </si>
  <si>
    <t>Completed Trips</t>
  </si>
  <si>
    <t>Revenue</t>
  </si>
  <si>
    <t>Total Costs</t>
  </si>
  <si>
    <t>Net Profit</t>
  </si>
  <si>
    <t>Average Revenue / Trip</t>
  </si>
  <si>
    <t>Profit Margin</t>
  </si>
  <si>
    <t>Outstanding Receivables</t>
  </si>
  <si>
    <t>Average Distance / Trip</t>
  </si>
  <si>
    <t>Monthly Performance</t>
  </si>
  <si>
    <t>Month</t>
  </si>
  <si>
    <t>Costs</t>
  </si>
  <si>
    <t>Profit</t>
  </si>
  <si>
    <t>Month Start</t>
  </si>
  <si>
    <t>Lead Source Performance</t>
  </si>
  <si>
    <t>Lead Source</t>
  </si>
  <si>
    <t>Service Type Performance</t>
  </si>
  <si>
    <t>Service Type</t>
  </si>
  <si>
    <t>Trips</t>
  </si>
  <si>
    <t>Yearly Performance</t>
  </si>
  <si>
    <t>Year</t>
  </si>
  <si>
    <t>Latest year in the Trip Log • Completed trips only</t>
  </si>
  <si>
    <t>What to Do Next</t>
  </si>
  <si>
    <t>1. Follow up on outstanding customer payments.
2. Compare lead sources and focus marketing on sources producing profitable trips.
3. Replace sample data with actual trips each week.</t>
  </si>
  <si>
    <t>Transport Business Trip Log</t>
  </si>
  <si>
    <t>SAMPLE DATA — replace the example trips with your actual records. All amounts are in Pakistani Rupees (PKR).</t>
  </si>
  <si>
    <t>Enter data in the white columns. Total Cost, Profit, Outstanding, and Payment Status calculate automatically.</t>
  </si>
  <si>
    <t>Trip ID</t>
  </si>
  <si>
    <t>Date</t>
  </si>
  <si>
    <t>Cargo Type</t>
  </si>
  <si>
    <t>Origin</t>
  </si>
  <si>
    <t>Destination</t>
  </si>
  <si>
    <t>Distance (km)</t>
  </si>
  <si>
    <t>Revenue (PKR)</t>
  </si>
  <si>
    <t>Fuel Cost</t>
  </si>
  <si>
    <t>Driver/Labor</t>
  </si>
  <si>
    <t>Tolls</t>
  </si>
  <si>
    <t>Other Cost</t>
  </si>
  <si>
    <t>Total Cost</t>
  </si>
  <si>
    <t>Amount Received</t>
  </si>
  <si>
    <t>Outstanding</t>
  </si>
  <si>
    <t>Trip Status</t>
  </si>
  <si>
    <t>Payment Status</t>
  </si>
  <si>
    <t>Customer Type</t>
  </si>
  <si>
    <t>Notes</t>
  </si>
  <si>
    <t>TB-001</t>
  </si>
  <si>
    <t>Agricultural Goods</t>
  </si>
  <si>
    <t>Sugarcane</t>
  </si>
  <si>
    <t>Mianwali</t>
  </si>
  <si>
    <t>Faisalabad</t>
  </si>
  <si>
    <t>Completed</t>
  </si>
  <si>
    <t>Referral</t>
  </si>
  <si>
    <t>Trader</t>
  </si>
  <si>
    <t>Sugarcane load</t>
  </si>
  <si>
    <t>TB-002</t>
  </si>
  <si>
    <t>General Goods</t>
  </si>
  <si>
    <t>Fertilizer</t>
  </si>
  <si>
    <t>Rawalpindi</t>
  </si>
  <si>
    <t>Adda/Network</t>
  </si>
  <si>
    <t>Business</t>
  </si>
  <si>
    <t>Balance due</t>
  </si>
  <si>
    <t>TB-003</t>
  </si>
  <si>
    <t>Home Shifting</t>
  </si>
  <si>
    <t>Household Items</t>
  </si>
  <si>
    <t>Islamabad</t>
  </si>
  <si>
    <t>Facebook</t>
  </si>
  <si>
    <t>Household</t>
  </si>
  <si>
    <t>Local shifting</t>
  </si>
  <si>
    <t>TB-004</t>
  </si>
  <si>
    <t>Rice</t>
  </si>
  <si>
    <t>Lahore</t>
  </si>
  <si>
    <t>Repeat Customer</t>
  </si>
  <si>
    <t>Rice bags</t>
  </si>
  <si>
    <t>TB-005</t>
  </si>
  <si>
    <t>Cement</t>
  </si>
  <si>
    <t>Chakwal</t>
  </si>
  <si>
    <t>WhatsApp</t>
  </si>
  <si>
    <t>Cement delivery</t>
  </si>
  <si>
    <t>TB-006</t>
  </si>
  <si>
    <t>Partial payment</t>
  </si>
  <si>
    <t>TB-007</t>
  </si>
  <si>
    <t>Furniture</t>
  </si>
  <si>
    <t>Furniture delivery</t>
  </si>
  <si>
    <t>TB-008</t>
  </si>
  <si>
    <t>Wheat</t>
  </si>
  <si>
    <t>Multan</t>
  </si>
  <si>
    <t>Wheat load</t>
  </si>
  <si>
    <t>TB-009</t>
  </si>
  <si>
    <t>Construction Materials</t>
  </si>
  <si>
    <t>Building materials</t>
  </si>
  <si>
    <t>TB-010</t>
  </si>
  <si>
    <t>Intercity shifting</t>
  </si>
  <si>
    <t>TB-011</t>
  </si>
  <si>
    <t>Rice load</t>
  </si>
  <si>
    <t>TB-012</t>
  </si>
  <si>
    <t>Packaging Material</t>
  </si>
  <si>
    <t>Packaging delivery</t>
  </si>
  <si>
    <t>TB-013</t>
  </si>
  <si>
    <t>Family shifting</t>
  </si>
  <si>
    <t>TB-014</t>
  </si>
  <si>
    <t>TB-015</t>
  </si>
  <si>
    <t>TB-016</t>
  </si>
  <si>
    <t>Fertilizer load</t>
  </si>
  <si>
    <t>TB-017</t>
  </si>
  <si>
    <t>TB-018</t>
  </si>
  <si>
    <t>TB-019</t>
  </si>
  <si>
    <t>TB-020</t>
  </si>
  <si>
    <t>TB-021</t>
  </si>
  <si>
    <t>TB-022</t>
  </si>
  <si>
    <t>TB-023</t>
  </si>
  <si>
    <t>TB-024</t>
  </si>
  <si>
    <t>TB-025</t>
  </si>
  <si>
    <t>TB-026</t>
  </si>
  <si>
    <t>Payment pending</t>
  </si>
  <si>
    <t>TB-027</t>
  </si>
  <si>
    <t>Scheduled</t>
  </si>
  <si>
    <t>Upcoming trip</t>
  </si>
  <si>
    <t>TB-028</t>
  </si>
  <si>
    <t>TB-029</t>
  </si>
  <si>
    <t>Cancelled</t>
  </si>
  <si>
    <t>Booking cancelled</t>
  </si>
  <si>
    <t>Transport Business Setup &amp; Lists</t>
  </si>
  <si>
    <t>Edit these lists to match your business. The Trip Log dropdowns and Dashboard summaries use these categories.</t>
  </si>
  <si>
    <t>Lead Sources</t>
  </si>
  <si>
    <t>Service Types</t>
  </si>
  <si>
    <t>Cargo Types</t>
  </si>
  <si>
    <t>Customer Types</t>
  </si>
  <si>
    <t>How to use this workbook</t>
  </si>
  <si>
    <t>1</t>
  </si>
  <si>
    <t>Open Trip Log</t>
  </si>
  <si>
    <t>Replace the sample rows with your actual trips.</t>
  </si>
  <si>
    <t>2</t>
  </si>
  <si>
    <t>Enter trip details</t>
  </si>
  <si>
    <t>Fill the white input columns; grey columns calculate automatically.</t>
  </si>
  <si>
    <t>3</t>
  </si>
  <si>
    <t>Use dropdowns</t>
  </si>
  <si>
    <t>Select service type, status, lead source, and customer type.</t>
  </si>
  <si>
    <t>4</t>
  </si>
  <si>
    <t>Check Dashboard</t>
  </si>
  <si>
    <t>Review KPIs plus monthly, yearly, lead-source, and service-type performance.</t>
  </si>
  <si>
    <t>5</t>
  </si>
  <si>
    <t>Add more rows</t>
  </si>
  <si>
    <t>Use the reserved rows through row 104 for future trips.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</si>
</sst>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mm\ yyyy"/>
    <numFmt numFmtId="179" formatCode="dd\-mmm\-yyyy"/>
    <numFmt numFmtId="180" formatCode="&quot;PKR&quot;\ #,##0"/>
    <numFmt numFmtId="181" formatCode="0.0%"/>
    <numFmt numFmtId="182" formatCode="&quot;PKR &quot;#,##0"/>
  </numFmts>
  <fonts count="36">
    <font>
      <sz val="11"/>
      <name val="Carlito"/>
      <charset val="134"/>
    </font>
    <font>
      <b/>
      <sz val="18"/>
      <color rgb="FFFFFFFF"/>
      <name val="Carlito"/>
      <charset val="134"/>
    </font>
    <font>
      <i/>
      <sz val="11"/>
      <color rgb="FF1F2937"/>
      <name val="Carlito"/>
      <charset val="134"/>
    </font>
    <font>
      <b/>
      <sz val="11"/>
      <color rgb="FFFFFFFF"/>
      <name val="Carlito"/>
      <charset val="134"/>
    </font>
    <font>
      <sz val="11"/>
      <color rgb="FF1F2937"/>
      <name val="Carlito"/>
      <charset val="134"/>
    </font>
    <font>
      <b/>
      <sz val="13"/>
      <color rgb="FF1F2937"/>
      <name val="Carlito"/>
      <charset val="134"/>
    </font>
    <font>
      <b/>
      <sz val="11"/>
      <color rgb="FF187A72"/>
      <name val="Carlito"/>
      <charset val="134"/>
    </font>
    <font>
      <b/>
      <sz val="11"/>
      <color rgb="FF1F2937"/>
      <name val="Carlito"/>
      <charset val="134"/>
    </font>
    <font>
      <i/>
      <sz val="11"/>
      <color rgb="FF64748B"/>
      <name val="Carlito"/>
      <charset val="134"/>
    </font>
    <font>
      <b/>
      <sz val="10"/>
      <color rgb="FFFFFFFF"/>
      <name val="Carlito"/>
      <charset val="134"/>
    </font>
    <font>
      <b/>
      <sz val="20"/>
      <color rgb="FFFFFFFF"/>
      <name val="Carlito"/>
      <charset val="134"/>
    </font>
    <font>
      <b/>
      <sz val="10"/>
      <color rgb="FF1F2937"/>
      <name val="Carlito"/>
      <charset val="134"/>
    </font>
    <font>
      <b/>
      <sz val="17"/>
      <color rgb="FF123447"/>
      <name val="Carlito"/>
      <charset val="134"/>
    </font>
    <font>
      <b/>
      <sz val="13"/>
      <color rgb="FFFFFFFF"/>
      <name val="Carlito"/>
      <charset val="134"/>
    </font>
    <font>
      <b/>
      <sz val="9"/>
      <color rgb="FF64748B"/>
      <name val="Carlito"/>
      <charset val="134"/>
    </font>
    <font>
      <sz val="9"/>
      <color rgb="FF64748B"/>
      <name val="Carlito"/>
      <charset val="134"/>
    </font>
    <font>
      <i/>
      <sz val="10"/>
      <color rgb="FF5B6770"/>
      <name val="Carlito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46">
    <fill>
      <patternFill patternType="none"/>
    </fill>
    <fill>
      <patternFill patternType="gray125"/>
    </fill>
    <fill>
      <patternFill patternType="solid">
        <fgColor rgb="FF123447"/>
        <bgColor indexed="64"/>
      </patternFill>
    </fill>
    <fill>
      <patternFill patternType="solid">
        <fgColor rgb="FFE6F0F8"/>
        <bgColor indexed="64"/>
      </patternFill>
    </fill>
    <fill>
      <patternFill patternType="solid">
        <fgColor rgb="FF187A7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4CF"/>
        <bgColor indexed="64"/>
      </patternFill>
    </fill>
    <fill>
      <patternFill patternType="solid">
        <fgColor rgb="FFDDF3EF"/>
        <bgColor indexed="64"/>
      </patternFill>
    </fill>
    <fill>
      <patternFill patternType="solid">
        <fgColor rgb="FFF7F9FB"/>
        <bgColor indexed="64"/>
      </patternFill>
    </fill>
    <fill>
      <patternFill patternType="solid">
        <fgColor rgb="FFEEF2F5"/>
        <bgColor indexed="64"/>
      </patternFill>
    </fill>
    <fill>
      <patternFill patternType="solid">
        <fgColor rgb="FFFFF0E5"/>
        <bgColor indexed="64"/>
      </patternFill>
    </fill>
    <fill>
      <patternFill patternType="solid">
        <fgColor rgb="FFE3F5E9"/>
        <bgColor indexed="64"/>
      </patternFill>
    </fill>
    <fill>
      <patternFill patternType="solid">
        <fgColor rgb="FFFDE8E8"/>
        <bgColor indexed="64"/>
      </patternFill>
    </fill>
    <fill>
      <patternFill patternType="solid">
        <fgColor rgb="FF143C4D"/>
        <bgColor indexed="64"/>
      </patternFill>
    </fill>
    <fill>
      <patternFill patternType="solid">
        <fgColor rgb="FF1B857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24">
    <border>
      <left/>
      <right/>
      <top/>
      <bottom/>
      <diagonal/>
    </border>
    <border>
      <left style="thin">
        <color rgb="FF187A72"/>
      </left>
      <right/>
      <top style="thin">
        <color rgb="FF187A72"/>
      </top>
      <bottom style="thin">
        <color rgb="FF187A72"/>
      </bottom>
      <diagonal/>
    </border>
    <border>
      <left/>
      <right/>
      <top style="thin">
        <color rgb="FF187A72"/>
      </top>
      <bottom style="thin">
        <color rgb="FF187A72"/>
      </bottom>
      <diagonal/>
    </border>
    <border>
      <left/>
      <right style="thin">
        <color rgb="FF187A72"/>
      </right>
      <top style="thin">
        <color rgb="FF187A72"/>
      </top>
      <bottom style="thin">
        <color rgb="FF187A72"/>
      </bottom>
      <diagonal/>
    </border>
    <border>
      <left/>
      <right/>
      <top/>
      <bottom style="thin">
        <color rgb="FFD8E0E7"/>
      </bottom>
      <diagonal/>
    </border>
    <border>
      <left/>
      <right/>
      <top style="thin">
        <color rgb="FFD8E0E7"/>
      </top>
      <bottom style="thin">
        <color rgb="FFD8E0E7"/>
      </bottom>
      <diagonal/>
    </border>
    <border>
      <left style="thin">
        <color rgb="FFD8E0E7"/>
      </left>
      <right/>
      <top style="thin">
        <color rgb="FFD8E0E7"/>
      </top>
      <bottom style="thin">
        <color rgb="FFD8E0E7"/>
      </bottom>
      <diagonal/>
    </border>
    <border>
      <left/>
      <right style="thin">
        <color rgb="FFD8E0E7"/>
      </right>
      <top style="thin">
        <color rgb="FFD8E0E7"/>
      </top>
      <bottom style="thin">
        <color rgb="FFD8E0E7"/>
      </bottom>
      <diagonal/>
    </border>
    <border>
      <left style="thin">
        <color rgb="FFD8E0E7"/>
      </left>
      <right/>
      <top style="thin">
        <color rgb="FFD8E0E7"/>
      </top>
      <bottom/>
      <diagonal/>
    </border>
    <border>
      <left/>
      <right/>
      <top style="thin">
        <color rgb="FFD8E0E7"/>
      </top>
      <bottom/>
      <diagonal/>
    </border>
    <border>
      <left/>
      <right style="thin">
        <color rgb="FFD8E0E7"/>
      </right>
      <top style="thin">
        <color rgb="FFD8E0E7"/>
      </top>
      <bottom/>
      <diagonal/>
    </border>
    <border>
      <left style="thin">
        <color rgb="FFD8E0E7"/>
      </left>
      <right/>
      <top/>
      <bottom style="thin">
        <color rgb="FFD8E0E7"/>
      </bottom>
      <diagonal/>
    </border>
    <border>
      <left/>
      <right style="thin">
        <color rgb="FFD8E0E7"/>
      </right>
      <top/>
      <bottom style="thin">
        <color rgb="FFD8E0E7"/>
      </bottom>
      <diagonal/>
    </border>
    <border>
      <left style="thin">
        <color rgb="FFD8E0E7"/>
      </left>
      <right style="thin">
        <color rgb="FFD8E0E7"/>
      </right>
      <top style="thin">
        <color rgb="FFD8E0E7"/>
      </top>
      <bottom style="thin">
        <color rgb="FFD8E0E7"/>
      </bottom>
      <diagonal/>
    </border>
    <border>
      <left style="thin">
        <color rgb="FFD8E0E7"/>
      </left>
      <right/>
      <top/>
      <bottom/>
      <diagonal/>
    </border>
    <border>
      <left/>
      <right style="thin">
        <color rgb="FFD8E0E7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7" fillId="0" borderId="0" applyFont="0" applyFill="0" applyBorder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177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15" borderId="16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0" borderId="17" applyNumberFormat="0" applyFill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6" borderId="19" applyNumberFormat="0" applyAlignment="0" applyProtection="0">
      <alignment vertical="center"/>
    </xf>
    <xf numFmtId="0" fontId="27" fillId="17" borderId="20" applyNumberFormat="0" applyAlignment="0" applyProtection="0">
      <alignment vertical="center"/>
    </xf>
    <xf numFmtId="0" fontId="28" fillId="17" borderId="19" applyNumberFormat="0" applyAlignment="0" applyProtection="0">
      <alignment vertical="center"/>
    </xf>
    <xf numFmtId="0" fontId="29" fillId="18" borderId="21" applyNumberFormat="0" applyAlignment="0" applyProtection="0">
      <alignment vertical="center"/>
    </xf>
    <xf numFmtId="0" fontId="30" fillId="0" borderId="22" applyNumberFormat="0" applyFill="0" applyAlignment="0" applyProtection="0">
      <alignment vertical="center"/>
    </xf>
    <xf numFmtId="0" fontId="31" fillId="0" borderId="23" applyNumberFormat="0" applyFill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17" fillId="35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</cellStyleXfs>
  <cellXfs count="100">
    <xf numFmtId="0" fontId="0" fillId="0" borderId="0" xfId="0"/>
    <xf numFmtId="0" fontId="1" fillId="2" borderId="0" xfId="0" applyNumberFormat="1" applyFont="1" applyFill="1" applyBorder="1" applyAlignment="1">
      <alignment horizontal="left" vertical="center"/>
    </xf>
    <xf numFmtId="0" fontId="2" fillId="3" borderId="0" xfId="0" applyNumberFormat="1" applyFont="1" applyFill="1" applyBorder="1" applyAlignment="1">
      <alignment vertical="center" wrapText="1"/>
    </xf>
    <xf numFmtId="0" fontId="3" fillId="4" borderId="1" xfId="0" applyNumberFormat="1" applyFont="1" applyFill="1" applyBorder="1" applyAlignment="1">
      <alignment horizontal="center" vertical="center"/>
    </xf>
    <xf numFmtId="0" fontId="3" fillId="4" borderId="2" xfId="0" applyNumberFormat="1" applyFont="1" applyFill="1" applyBorder="1" applyAlignment="1">
      <alignment horizontal="center" vertical="center"/>
    </xf>
    <xf numFmtId="0" fontId="3" fillId="4" borderId="3" xfId="0" applyNumberFormat="1" applyFont="1" applyFill="1" applyBorder="1" applyAlignment="1">
      <alignment horizontal="center" vertical="center"/>
    </xf>
    <xf numFmtId="0" fontId="4" fillId="5" borderId="4" xfId="0" applyNumberFormat="1" applyFont="1" applyFill="1" applyBorder="1" applyAlignment="1">
      <alignment vertical="center"/>
    </xf>
    <xf numFmtId="178" fontId="4" fillId="5" borderId="4" xfId="0" applyNumberFormat="1" applyFont="1" applyFill="1" applyBorder="1" applyAlignment="1">
      <alignment vertical="center"/>
    </xf>
    <xf numFmtId="0" fontId="4" fillId="5" borderId="5" xfId="0" applyNumberFormat="1" applyFont="1" applyFill="1" applyBorder="1" applyAlignment="1">
      <alignment vertical="center"/>
    </xf>
    <xf numFmtId="178" fontId="4" fillId="5" borderId="5" xfId="0" applyNumberFormat="1" applyFont="1" applyFill="1" applyBorder="1" applyAlignment="1">
      <alignment vertical="center"/>
    </xf>
    <xf numFmtId="0" fontId="5" fillId="6" borderId="0" xfId="0" applyNumberFormat="1" applyFont="1" applyFill="1" applyBorder="1" applyAlignment="1">
      <alignment vertical="center"/>
    </xf>
    <xf numFmtId="0" fontId="6" fillId="7" borderId="4" xfId="0" applyNumberFormat="1" applyFont="1" applyFill="1" applyBorder="1" applyAlignment="1">
      <alignment horizontal="center" vertical="center" wrapText="1"/>
    </xf>
    <xf numFmtId="0" fontId="7" fillId="0" borderId="4" xfId="0" applyNumberFormat="1" applyFont="1" applyFill="1" applyBorder="1" applyAlignment="1">
      <alignment vertical="center" wrapText="1"/>
    </xf>
    <xf numFmtId="0" fontId="4" fillId="0" borderId="4" xfId="0" applyNumberFormat="1" applyFont="1" applyFill="1" applyBorder="1" applyAlignment="1">
      <alignment vertical="center" wrapText="1"/>
    </xf>
    <xf numFmtId="0" fontId="6" fillId="7" borderId="5" xfId="0" applyNumberFormat="1" applyFont="1" applyFill="1" applyBorder="1" applyAlignment="1">
      <alignment horizontal="center" vertical="center" wrapText="1"/>
    </xf>
    <xf numFmtId="0" fontId="7" fillId="0" borderId="5" xfId="0" applyNumberFormat="1" applyFont="1" applyFill="1" applyBorder="1" applyAlignment="1">
      <alignment vertical="center" wrapText="1"/>
    </xf>
    <xf numFmtId="0" fontId="4" fillId="0" borderId="5" xfId="0" applyNumberFormat="1" applyFont="1" applyFill="1" applyBorder="1" applyAlignment="1">
      <alignment vertical="center" wrapText="1"/>
    </xf>
    <xf numFmtId="0" fontId="7" fillId="6" borderId="0" xfId="0" applyNumberFormat="1" applyFont="1" applyFill="1" applyBorder="1" applyAlignment="1">
      <alignment horizontal="left" vertical="center"/>
    </xf>
    <xf numFmtId="0" fontId="8" fillId="8" borderId="0" xfId="0" applyNumberFormat="1" applyFont="1" applyFill="1" applyBorder="1" applyAlignment="1">
      <alignment horizontal="left" vertical="center"/>
    </xf>
    <xf numFmtId="0" fontId="9" fillId="4" borderId="1" xfId="0" applyNumberFormat="1" applyFont="1" applyFill="1" applyBorder="1" applyAlignment="1">
      <alignment horizontal="center" vertical="center" wrapText="1"/>
    </xf>
    <xf numFmtId="0" fontId="9" fillId="4" borderId="2" xfId="0" applyNumberFormat="1" applyFont="1" applyFill="1" applyBorder="1" applyAlignment="1">
      <alignment horizontal="center" vertical="center" wrapText="1"/>
    </xf>
    <xf numFmtId="0" fontId="9" fillId="4" borderId="3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vertical="center"/>
    </xf>
    <xf numFmtId="179" fontId="0" fillId="0" borderId="0" xfId="0" applyNumberFormat="1" applyFont="1" applyFill="1" applyBorder="1" applyAlignment="1">
      <alignment vertical="center"/>
    </xf>
    <xf numFmtId="3" fontId="0" fillId="0" borderId="0" xfId="0" applyNumberFormat="1" applyFont="1" applyFill="1" applyBorder="1" applyAlignment="1">
      <alignment vertical="center"/>
    </xf>
    <xf numFmtId="180" fontId="0" fillId="0" borderId="0" xfId="0" applyNumberFormat="1" applyFont="1" applyFill="1" applyBorder="1" applyAlignment="1">
      <alignment vertical="center"/>
    </xf>
    <xf numFmtId="180" fontId="0" fillId="9" borderId="0" xfId="0" applyNumberFormat="1" applyFont="1" applyFill="1" applyBorder="1" applyAlignment="1">
      <alignment vertical="center"/>
    </xf>
    <xf numFmtId="0" fontId="0" fillId="9" borderId="0" xfId="0" applyNumberFormat="1" applyFont="1" applyFill="1" applyBorder="1" applyAlignment="1">
      <alignment vertical="center"/>
    </xf>
    <xf numFmtId="0" fontId="0" fillId="0" borderId="0" xfId="0" applyNumberFormat="1" applyFont="1" applyFill="1" applyBorder="1" applyAlignment="1">
      <alignment vertical="center" wrapText="1"/>
    </xf>
    <xf numFmtId="0" fontId="10" fillId="2" borderId="0" xfId="0" applyNumberFormat="1" applyFont="1" applyFill="1" applyBorder="1" applyAlignment="1">
      <alignment horizontal="left" vertical="center"/>
    </xf>
    <xf numFmtId="0" fontId="7" fillId="6" borderId="0" xfId="0" applyNumberFormat="1" applyFont="1" applyFill="1" applyBorder="1" applyAlignment="1">
      <alignment vertical="center"/>
    </xf>
    <xf numFmtId="0" fontId="11" fillId="7" borderId="6" xfId="0" applyNumberFormat="1" applyFont="1" applyFill="1" applyBorder="1" applyAlignment="1">
      <alignment horizontal="center" vertical="center"/>
    </xf>
    <xf numFmtId="0" fontId="11" fillId="7" borderId="5" xfId="0" applyNumberFormat="1" applyFont="1" applyFill="1" applyBorder="1" applyAlignment="1">
      <alignment horizontal="center" vertical="center"/>
    </xf>
    <xf numFmtId="0" fontId="11" fillId="7" borderId="7" xfId="0" applyNumberFormat="1" applyFont="1" applyFill="1" applyBorder="1" applyAlignment="1">
      <alignment horizontal="center" vertical="center"/>
    </xf>
    <xf numFmtId="0" fontId="11" fillId="3" borderId="6" xfId="0" applyNumberFormat="1" applyFont="1" applyFill="1" applyBorder="1" applyAlignment="1">
      <alignment horizontal="center" vertical="center"/>
    </xf>
    <xf numFmtId="0" fontId="11" fillId="3" borderId="5" xfId="0" applyNumberFormat="1" applyFont="1" applyFill="1" applyBorder="1" applyAlignment="1">
      <alignment horizontal="center" vertical="center"/>
    </xf>
    <xf numFmtId="0" fontId="11" fillId="3" borderId="7" xfId="0" applyNumberFormat="1" applyFont="1" applyFill="1" applyBorder="1" applyAlignment="1">
      <alignment horizontal="center" vertical="center"/>
    </xf>
    <xf numFmtId="0" fontId="11" fillId="10" borderId="6" xfId="0" applyNumberFormat="1" applyFont="1" applyFill="1" applyBorder="1" applyAlignment="1">
      <alignment horizontal="center" vertical="center"/>
    </xf>
    <xf numFmtId="0" fontId="11" fillId="10" borderId="5" xfId="0" applyNumberFormat="1" applyFont="1" applyFill="1" applyBorder="1" applyAlignment="1">
      <alignment horizontal="center" vertical="center"/>
    </xf>
    <xf numFmtId="0" fontId="11" fillId="10" borderId="7" xfId="0" applyNumberFormat="1" applyFont="1" applyFill="1" applyBorder="1" applyAlignment="1">
      <alignment horizontal="center" vertical="center"/>
    </xf>
    <xf numFmtId="0" fontId="11" fillId="11" borderId="6" xfId="0" applyNumberFormat="1" applyFont="1" applyFill="1" applyBorder="1" applyAlignment="1">
      <alignment horizontal="center" vertical="center"/>
    </xf>
    <xf numFmtId="0" fontId="11" fillId="11" borderId="5" xfId="0" applyNumberFormat="1" applyFont="1" applyFill="1" applyBorder="1" applyAlignment="1">
      <alignment horizontal="center" vertical="center"/>
    </xf>
    <xf numFmtId="0" fontId="11" fillId="11" borderId="7" xfId="0" applyNumberFormat="1" applyFont="1" applyFill="1" applyBorder="1" applyAlignment="1">
      <alignment horizontal="center" vertical="center"/>
    </xf>
    <xf numFmtId="3" fontId="12" fillId="5" borderId="8" xfId="0" applyNumberFormat="1" applyFont="1" applyFill="1" applyBorder="1" applyAlignment="1">
      <alignment horizontal="center" vertical="center"/>
    </xf>
    <xf numFmtId="3" fontId="12" fillId="5" borderId="9" xfId="0" applyNumberFormat="1" applyFont="1" applyFill="1" applyBorder="1" applyAlignment="1">
      <alignment horizontal="center" vertical="center"/>
    </xf>
    <xf numFmtId="3" fontId="12" fillId="5" borderId="10" xfId="0" applyNumberFormat="1" applyFont="1" applyFill="1" applyBorder="1" applyAlignment="1">
      <alignment horizontal="center" vertical="center"/>
    </xf>
    <xf numFmtId="180" fontId="12" fillId="5" borderId="8" xfId="0" applyNumberFormat="1" applyFont="1" applyFill="1" applyBorder="1" applyAlignment="1">
      <alignment horizontal="center" vertical="center"/>
    </xf>
    <xf numFmtId="180" fontId="12" fillId="5" borderId="9" xfId="0" applyNumberFormat="1" applyFont="1" applyFill="1" applyBorder="1" applyAlignment="1">
      <alignment horizontal="center" vertical="center"/>
    </xf>
    <xf numFmtId="180" fontId="12" fillId="5" borderId="10" xfId="0" applyNumberFormat="1" applyFont="1" applyFill="1" applyBorder="1" applyAlignment="1">
      <alignment horizontal="center" vertical="center"/>
    </xf>
    <xf numFmtId="3" fontId="12" fillId="5" borderId="11" xfId="0" applyNumberFormat="1" applyFont="1" applyFill="1" applyBorder="1" applyAlignment="1">
      <alignment horizontal="center" vertical="center"/>
    </xf>
    <xf numFmtId="3" fontId="12" fillId="5" borderId="4" xfId="0" applyNumberFormat="1" applyFont="1" applyFill="1" applyBorder="1" applyAlignment="1">
      <alignment horizontal="center" vertical="center"/>
    </xf>
    <xf numFmtId="3" fontId="12" fillId="5" borderId="12" xfId="0" applyNumberFormat="1" applyFont="1" applyFill="1" applyBorder="1" applyAlignment="1">
      <alignment horizontal="center" vertical="center"/>
    </xf>
    <xf numFmtId="180" fontId="12" fillId="5" borderId="11" xfId="0" applyNumberFormat="1" applyFont="1" applyFill="1" applyBorder="1" applyAlignment="1">
      <alignment horizontal="center" vertical="center"/>
    </xf>
    <xf numFmtId="180" fontId="12" fillId="5" borderId="4" xfId="0" applyNumberFormat="1" applyFont="1" applyFill="1" applyBorder="1" applyAlignment="1">
      <alignment horizontal="center" vertical="center"/>
    </xf>
    <xf numFmtId="180" fontId="12" fillId="5" borderId="12" xfId="0" applyNumberFormat="1" applyFont="1" applyFill="1" applyBorder="1" applyAlignment="1">
      <alignment horizontal="center" vertical="center"/>
    </xf>
    <xf numFmtId="0" fontId="11" fillId="12" borderId="6" xfId="0" applyNumberFormat="1" applyFont="1" applyFill="1" applyBorder="1" applyAlignment="1">
      <alignment horizontal="center" vertical="center"/>
    </xf>
    <xf numFmtId="0" fontId="11" fillId="12" borderId="5" xfId="0" applyNumberFormat="1" applyFont="1" applyFill="1" applyBorder="1" applyAlignment="1">
      <alignment horizontal="center" vertical="center"/>
    </xf>
    <xf numFmtId="0" fontId="11" fillId="12" borderId="7" xfId="0" applyNumberFormat="1" applyFont="1" applyFill="1" applyBorder="1" applyAlignment="1">
      <alignment horizontal="center" vertical="center"/>
    </xf>
    <xf numFmtId="0" fontId="11" fillId="6" borderId="6" xfId="0" applyNumberFormat="1" applyFont="1" applyFill="1" applyBorder="1" applyAlignment="1">
      <alignment horizontal="center" vertical="center"/>
    </xf>
    <xf numFmtId="0" fontId="11" fillId="6" borderId="5" xfId="0" applyNumberFormat="1" applyFont="1" applyFill="1" applyBorder="1" applyAlignment="1">
      <alignment horizontal="center" vertical="center"/>
    </xf>
    <xf numFmtId="0" fontId="11" fillId="6" borderId="7" xfId="0" applyNumberFormat="1" applyFont="1" applyFill="1" applyBorder="1" applyAlignment="1">
      <alignment horizontal="center" vertical="center"/>
    </xf>
    <xf numFmtId="181" fontId="12" fillId="5" borderId="8" xfId="0" applyNumberFormat="1" applyFont="1" applyFill="1" applyBorder="1" applyAlignment="1">
      <alignment horizontal="center" vertical="center"/>
    </xf>
    <xf numFmtId="181" fontId="12" fillId="5" borderId="9" xfId="0" applyNumberFormat="1" applyFont="1" applyFill="1" applyBorder="1" applyAlignment="1">
      <alignment horizontal="center" vertical="center"/>
    </xf>
    <xf numFmtId="181" fontId="12" fillId="5" borderId="10" xfId="0" applyNumberFormat="1" applyFont="1" applyFill="1" applyBorder="1" applyAlignment="1">
      <alignment horizontal="center" vertical="center"/>
    </xf>
    <xf numFmtId="181" fontId="12" fillId="5" borderId="11" xfId="0" applyNumberFormat="1" applyFont="1" applyFill="1" applyBorder="1" applyAlignment="1">
      <alignment horizontal="center" vertical="center"/>
    </xf>
    <xf numFmtId="181" fontId="12" fillId="5" borderId="4" xfId="0" applyNumberFormat="1" applyFont="1" applyFill="1" applyBorder="1" applyAlignment="1">
      <alignment horizontal="center" vertical="center"/>
    </xf>
    <xf numFmtId="181" fontId="12" fillId="5" borderId="12" xfId="0" applyNumberFormat="1" applyFont="1" applyFill="1" applyBorder="1" applyAlignment="1">
      <alignment horizontal="center" vertical="center"/>
    </xf>
    <xf numFmtId="0" fontId="13" fillId="2" borderId="0" xfId="0" applyNumberFormat="1" applyFont="1" applyFill="1" applyBorder="1" applyAlignment="1">
      <alignment vertical="center"/>
    </xf>
    <xf numFmtId="0" fontId="3" fillId="4" borderId="0" xfId="0" applyNumberFormat="1" applyFont="1" applyFill="1" applyBorder="1" applyAlignment="1">
      <alignment horizontal="center" vertical="center" wrapText="1"/>
    </xf>
    <xf numFmtId="0" fontId="14" fillId="8" borderId="0" xfId="0" applyNumberFormat="1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vertical="center"/>
    </xf>
    <xf numFmtId="180" fontId="0" fillId="0" borderId="4" xfId="0" applyNumberFormat="1" applyFont="1" applyFill="1" applyBorder="1" applyAlignment="1">
      <alignment vertical="center"/>
    </xf>
    <xf numFmtId="3" fontId="0" fillId="0" borderId="4" xfId="0" applyNumberFormat="1" applyFont="1" applyFill="1" applyBorder="1" applyAlignment="1">
      <alignment vertical="center"/>
    </xf>
    <xf numFmtId="179" fontId="15" fillId="8" borderId="4" xfId="0" applyNumberFormat="1" applyFont="1" applyFill="1" applyBorder="1" applyAlignment="1">
      <alignment vertical="center"/>
    </xf>
    <xf numFmtId="0" fontId="0" fillId="0" borderId="5" xfId="0" applyNumberFormat="1" applyFont="1" applyFill="1" applyBorder="1" applyAlignment="1">
      <alignment vertical="center"/>
    </xf>
    <xf numFmtId="180" fontId="0" fillId="0" borderId="5" xfId="0" applyNumberFormat="1" applyFont="1" applyFill="1" applyBorder="1" applyAlignment="1">
      <alignment vertical="center"/>
    </xf>
    <xf numFmtId="3" fontId="0" fillId="0" borderId="5" xfId="0" applyNumberFormat="1" applyFont="1" applyFill="1" applyBorder="1" applyAlignment="1">
      <alignment vertical="center"/>
    </xf>
    <xf numFmtId="179" fontId="15" fillId="8" borderId="5" xfId="0" applyNumberFormat="1" applyFont="1" applyFill="1" applyBorder="1" applyAlignment="1">
      <alignment vertical="center"/>
    </xf>
    <xf numFmtId="0" fontId="3" fillId="4" borderId="0" xfId="0" applyNumberFormat="1" applyFont="1" applyFill="1" applyBorder="1" applyAlignment="1">
      <alignment horizontal="center" vertical="center"/>
    </xf>
    <xf numFmtId="181" fontId="0" fillId="0" borderId="4" xfId="0" applyNumberFormat="1" applyFont="1" applyFill="1" applyBorder="1" applyAlignment="1">
      <alignment vertical="center"/>
    </xf>
    <xf numFmtId="181" fontId="0" fillId="0" borderId="5" xfId="0" applyNumberFormat="1" applyFont="1" applyFill="1" applyBorder="1" applyAlignment="1">
      <alignment vertical="center"/>
    </xf>
    <xf numFmtId="0" fontId="13" fillId="13" borderId="0" xfId="0" applyNumberFormat="1" applyFont="1" applyFill="1" applyBorder="1" applyAlignment="1">
      <alignment horizontal="left" vertical="center"/>
    </xf>
    <xf numFmtId="0" fontId="9" fillId="14" borderId="13" xfId="0" applyNumberFormat="1" applyFont="1" applyFill="1" applyBorder="1" applyAlignment="1">
      <alignment horizontal="center"/>
    </xf>
    <xf numFmtId="1" fontId="4" fillId="5" borderId="13" xfId="0" applyNumberFormat="1" applyFont="1" applyFill="1" applyBorder="1" applyAlignment="1">
      <alignment horizontal="center"/>
    </xf>
    <xf numFmtId="3" fontId="4" fillId="5" borderId="13" xfId="0" applyNumberFormat="1" applyFont="1" applyFill="1" applyBorder="1" applyAlignment="1">
      <alignment horizontal="center"/>
    </xf>
    <xf numFmtId="182" fontId="4" fillId="5" borderId="13" xfId="0" applyNumberFormat="1" applyFont="1" applyFill="1" applyBorder="1"/>
    <xf numFmtId="181" fontId="4" fillId="5" borderId="13" xfId="0" applyNumberFormat="1" applyFont="1" applyFill="1" applyBorder="1" applyAlignment="1">
      <alignment horizontal="center"/>
    </xf>
    <xf numFmtId="0" fontId="16" fillId="8" borderId="6" xfId="0" applyNumberFormat="1" applyFont="1" applyFill="1" applyBorder="1" applyAlignment="1">
      <alignment horizontal="left" vertical="center"/>
    </xf>
    <xf numFmtId="0" fontId="16" fillId="8" borderId="5" xfId="0" applyNumberFormat="1" applyFont="1" applyFill="1" applyBorder="1" applyAlignment="1">
      <alignment horizontal="left" vertical="center"/>
    </xf>
    <xf numFmtId="0" fontId="16" fillId="8" borderId="7" xfId="0" applyNumberFormat="1" applyFont="1" applyFill="1" applyBorder="1" applyAlignment="1">
      <alignment horizontal="left" vertical="center"/>
    </xf>
    <xf numFmtId="0" fontId="5" fillId="6" borderId="0" xfId="0" applyNumberFormat="1" applyFont="1" applyFill="1" applyBorder="1" applyAlignment="1">
      <alignment horizontal="left" vertical="center"/>
    </xf>
    <xf numFmtId="0" fontId="4" fillId="8" borderId="8" xfId="0" applyNumberFormat="1" applyFont="1" applyFill="1" applyBorder="1" applyAlignment="1">
      <alignment horizontal="left" vertical="top" wrapText="1"/>
    </xf>
    <xf numFmtId="0" fontId="4" fillId="8" borderId="9" xfId="0" applyNumberFormat="1" applyFont="1" applyFill="1" applyBorder="1" applyAlignment="1">
      <alignment horizontal="left" vertical="top" wrapText="1"/>
    </xf>
    <xf numFmtId="0" fontId="4" fillId="8" borderId="10" xfId="0" applyNumberFormat="1" applyFont="1" applyFill="1" applyBorder="1" applyAlignment="1">
      <alignment horizontal="left" vertical="top" wrapText="1"/>
    </xf>
    <xf numFmtId="0" fontId="4" fillId="8" borderId="14" xfId="0" applyNumberFormat="1" applyFont="1" applyFill="1" applyBorder="1" applyAlignment="1">
      <alignment horizontal="left" vertical="top" wrapText="1"/>
    </xf>
    <xf numFmtId="0" fontId="4" fillId="8" borderId="0" xfId="0" applyNumberFormat="1" applyFont="1" applyFill="1" applyBorder="1" applyAlignment="1">
      <alignment horizontal="left" vertical="top" wrapText="1"/>
    </xf>
    <xf numFmtId="0" fontId="4" fillId="8" borderId="15" xfId="0" applyNumberFormat="1" applyFont="1" applyFill="1" applyBorder="1" applyAlignment="1">
      <alignment horizontal="left" vertical="top" wrapText="1"/>
    </xf>
    <xf numFmtId="0" fontId="4" fillId="8" borderId="11" xfId="0" applyNumberFormat="1" applyFont="1" applyFill="1" applyBorder="1" applyAlignment="1">
      <alignment horizontal="left" vertical="top" wrapText="1"/>
    </xf>
    <xf numFmtId="0" fontId="4" fillId="8" borderId="4" xfId="0" applyNumberFormat="1" applyFont="1" applyFill="1" applyBorder="1" applyAlignment="1">
      <alignment horizontal="left" vertical="top" wrapText="1"/>
    </xf>
    <xf numFmtId="0" fontId="4" fillId="8" borderId="12" xfId="0" applyNumberFormat="1" applyFont="1" applyFill="1" applyBorder="1" applyAlignment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3">
    <dxf>
      <font>
        <b val="1"/>
        <color rgb="FFC94B4B"/>
      </font>
      <fill>
        <patternFill patternType="solid">
          <bgColor rgb="FFFDE8E8"/>
        </patternFill>
      </fill>
    </dxf>
    <dxf>
      <font>
        <b val="1"/>
        <color rgb="FF2F855A"/>
      </font>
      <fill>
        <patternFill patternType="solid">
          <bgColor rgb="FFE3F5E9"/>
        </patternFill>
      </fill>
    </dxf>
    <dxf>
      <font>
        <b val="1"/>
        <color rgb="FFE98235"/>
      </font>
      <fill>
        <patternFill patternType="solid">
          <bgColor rgb="FFFFF0E5"/>
        </patternFill>
      </fill>
    </dxf>
    <dxf>
      <font>
        <b val="1"/>
        <color rgb="FFC94B4B"/>
      </font>
      <fill>
        <patternFill patternType="solid">
          <bgColor rgb="FFFDE8E8"/>
        </patternFill>
      </fill>
    </dxf>
    <dxf>
      <font>
        <color rgb="FF2F855A"/>
      </font>
      <fill>
        <patternFill patternType="solid">
          <bgColor rgb="FFE3F5E9"/>
        </patternFill>
      </fill>
    </dxf>
    <dxf>
      <font>
        <color rgb="FF8A6500"/>
      </font>
      <fill>
        <patternFill patternType="solid">
          <bgColor rgb="FFFFF4CF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  <tableStyle name="PivotStylePreset2_Accent1" table="0" count="10" xr9:uid="{267968C8-6FFD-4C36-ACC1-9EA1FD1885CA}">
      <tableStyleElement type="headerRow" dxfId="22"/>
      <tableStyleElement type="totalRow" dxfId="21"/>
      <tableStyleElement type="firstRowStripe" dxfId="20"/>
      <tableStyleElement type="firstColumnStripe" dxfId="19"/>
      <tableStyleElement type="firstSubtotalRow" dxfId="18"/>
      <tableStyleElement type="secondSubtotalRow" dxfId="17"/>
      <tableStyleElement type="firstRowSubheading" dxfId="16"/>
      <tableStyleElement type="secondRowSubheading" dxfId="15"/>
      <tableStyleElement type="pageFieldLabels" dxfId="14"/>
      <tableStyleElement type="pageFieldValues" dxfId="1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900" b="1" i="0" u="none">
                <a:solidFill>
                  <a:schemeClr val="tx1"/>
                </a:solidFill>
                <a:latin typeface="+mn-lt"/>
                <a:ea typeface="+mn-lt"/>
                <a:cs typeface="+mn-lt"/>
              </a:rPr>
              <a:t>Monthly Revenue, Costs and Profit (PKR)</a:t>
            </a:r>
            <a:endParaRPr sz="900" b="1" i="0" u="none">
              <a:solidFill>
                <a:schemeClr val="tx1"/>
              </a:solidFill>
              <a:latin typeface="+mn-lt"/>
              <a:ea typeface="+mn-lt"/>
              <a:cs typeface="+mn-lt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"Revenue"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2F6B9A"/>
            </a:solidFill>
          </c:spPr>
          <c:invertIfNegative val="0"/>
          <c:dLbls>
            <c:delete val="1"/>
          </c:dLbls>
          <c:cat>
            <c:strRef>
              <c:f>Dashboard!$A$14:$A$20</c:f>
              <c:strCache>
                <c:ptCount val="7"/>
                <c:pt idx="0">
                  <c:v>Jan 2026</c:v>
                </c:pt>
                <c:pt idx="1">
                  <c:v>Feb 2026</c:v>
                </c:pt>
                <c:pt idx="2">
                  <c:v>Mar 2026</c:v>
                </c:pt>
                <c:pt idx="3">
                  <c:v>Apr 2026</c:v>
                </c:pt>
                <c:pt idx="4">
                  <c:v>May 2026</c:v>
                </c:pt>
                <c:pt idx="5">
                  <c:v>Jun 2026</c:v>
                </c:pt>
                <c:pt idx="6">
                  <c:v>Jul 2026</c:v>
                </c:pt>
              </c:strCache>
            </c:strRef>
          </c:cat>
          <c:val>
            <c:numRef>
              <c:f>Dashboard!$B$14:$B$20</c:f>
              <c:numCache>
                <c:formatCode>"PKR"\ #,##0</c:formatCode>
                <c:ptCount val="7"/>
                <c:pt idx="0">
                  <c:v>205000</c:v>
                </c:pt>
                <c:pt idx="1">
                  <c:v>344000</c:v>
                </c:pt>
                <c:pt idx="2">
                  <c:v>376000</c:v>
                </c:pt>
                <c:pt idx="3">
                  <c:v>397000</c:v>
                </c:pt>
                <c:pt idx="4">
                  <c:v>255000</c:v>
                </c:pt>
                <c:pt idx="5">
                  <c:v>396000</c:v>
                </c:pt>
                <c:pt idx="6">
                  <c:v>400000</c:v>
                </c:pt>
              </c:numCache>
            </c:numRef>
          </c:val>
        </c:ser>
        <c:ser>
          <c:idx val="1"/>
          <c:order val="1"/>
          <c:tx>
            <c:strRef>
              <c:f>"Costs"</c:f>
              <c:strCache>
                <c:ptCount val="1"/>
                <c:pt idx="0">
                  <c:v>Costs</c:v>
                </c:pt>
              </c:strCache>
            </c:strRef>
          </c:tx>
          <c:spPr>
            <a:solidFill>
              <a:srgbClr val="E98235"/>
            </a:solidFill>
          </c:spPr>
          <c:invertIfNegative val="0"/>
          <c:dLbls>
            <c:delete val="1"/>
          </c:dLbls>
          <c:cat>
            <c:strRef>
              <c:f>Dashboard!$A$14:$A$20</c:f>
              <c:strCache>
                <c:ptCount val="7"/>
                <c:pt idx="0">
                  <c:v>Jan 2026</c:v>
                </c:pt>
                <c:pt idx="1">
                  <c:v>Feb 2026</c:v>
                </c:pt>
                <c:pt idx="2">
                  <c:v>Mar 2026</c:v>
                </c:pt>
                <c:pt idx="3">
                  <c:v>Apr 2026</c:v>
                </c:pt>
                <c:pt idx="4">
                  <c:v>May 2026</c:v>
                </c:pt>
                <c:pt idx="5">
                  <c:v>Jun 2026</c:v>
                </c:pt>
                <c:pt idx="6">
                  <c:v>Jul 2026</c:v>
                </c:pt>
              </c:strCache>
            </c:strRef>
          </c:cat>
          <c:val>
            <c:numRef>
              <c:f>Dashboard!$C$14:$C$20</c:f>
              <c:numCache>
                <c:formatCode>"PKR"\ #,##0</c:formatCode>
                <c:ptCount val="7"/>
                <c:pt idx="0">
                  <c:v>107500</c:v>
                </c:pt>
                <c:pt idx="1">
                  <c:v>185600</c:v>
                </c:pt>
                <c:pt idx="2">
                  <c:v>208800</c:v>
                </c:pt>
                <c:pt idx="3">
                  <c:v>219000</c:v>
                </c:pt>
                <c:pt idx="4">
                  <c:v>133600</c:v>
                </c:pt>
                <c:pt idx="5">
                  <c:v>221900</c:v>
                </c:pt>
                <c:pt idx="6">
                  <c:v>218800</c:v>
                </c:pt>
              </c:numCache>
            </c:numRef>
          </c:val>
        </c:ser>
        <c:ser>
          <c:idx val="2"/>
          <c:order val="2"/>
          <c:tx>
            <c:strRef>
              <c:f>"Profit"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2F855A"/>
            </a:solidFill>
          </c:spPr>
          <c:invertIfNegative val="0"/>
          <c:dLbls>
            <c:delete val="1"/>
          </c:dLbls>
          <c:cat>
            <c:strRef>
              <c:f>Dashboard!$A$14:$A$20</c:f>
              <c:strCache>
                <c:ptCount val="7"/>
                <c:pt idx="0">
                  <c:v>Jan 2026</c:v>
                </c:pt>
                <c:pt idx="1">
                  <c:v>Feb 2026</c:v>
                </c:pt>
                <c:pt idx="2">
                  <c:v>Mar 2026</c:v>
                </c:pt>
                <c:pt idx="3">
                  <c:v>Apr 2026</c:v>
                </c:pt>
                <c:pt idx="4">
                  <c:v>May 2026</c:v>
                </c:pt>
                <c:pt idx="5">
                  <c:v>Jun 2026</c:v>
                </c:pt>
                <c:pt idx="6">
                  <c:v>Jul 2026</c:v>
                </c:pt>
              </c:strCache>
            </c:strRef>
          </c:cat>
          <c:val>
            <c:numRef>
              <c:f>Dashboard!$D$14:$D$20</c:f>
              <c:numCache>
                <c:formatCode>"PKR"\ #,##0</c:formatCode>
                <c:ptCount val="7"/>
                <c:pt idx="0">
                  <c:v>97500</c:v>
                </c:pt>
                <c:pt idx="1">
                  <c:v>158400</c:v>
                </c:pt>
                <c:pt idx="2">
                  <c:v>167200</c:v>
                </c:pt>
                <c:pt idx="3">
                  <c:v>178000</c:v>
                </c:pt>
                <c:pt idx="4">
                  <c:v>121400</c:v>
                </c:pt>
                <c:pt idx="5">
                  <c:v>174100</c:v>
                </c:pt>
                <c:pt idx="6">
                  <c:v>181200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675" b="0" i="0" u="none" strike="noStrike" kern="1200" baseline="0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&quot;PKR&quot;\ #,##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lt"/>
              <a:cs typeface="+mn-lt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63bd988-befa-437e-816b-5be3291cd080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900" b="1" i="0" u="none">
                <a:solidFill>
                  <a:schemeClr val="tx1"/>
                </a:solidFill>
                <a:latin typeface="+mn-lt"/>
                <a:ea typeface="+mn-lt"/>
                <a:cs typeface="+mn-lt"/>
              </a:rPr>
              <a:t>Completed Trips by Lead Source</a:t>
            </a:r>
            <a:endParaRPr sz="900" b="1" i="0" u="none">
              <a:solidFill>
                <a:schemeClr val="tx1"/>
              </a:solidFill>
              <a:latin typeface="+mn-lt"/>
              <a:ea typeface="+mn-lt"/>
              <a:cs typeface="+mn-lt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"Completed Trips"</c:f>
              <c:strCache>
                <c:ptCount val="1"/>
                <c:pt idx="0">
                  <c:v>Completed Trips</c:v>
                </c:pt>
              </c:strCache>
            </c:strRef>
          </c:tx>
          <c:spPr>
            <a:solidFill>
              <a:srgbClr val="187A72"/>
            </a:solidFill>
          </c:spPr>
          <c:invertIfNegative val="0"/>
          <c:dLbls>
            <c:delete val="1"/>
          </c:dLbls>
          <c:cat>
            <c:strRef>
              <c:f>Dashboard!$A$25:$A$29</c:f>
              <c:strCache>
                <c:ptCount val="5"/>
                <c:pt idx="0">
                  <c:v>Facebook</c:v>
                </c:pt>
                <c:pt idx="1">
                  <c:v>Referral</c:v>
                </c:pt>
                <c:pt idx="2">
                  <c:v>Adda/Network</c:v>
                </c:pt>
                <c:pt idx="3">
                  <c:v>Repeat Customer</c:v>
                </c:pt>
                <c:pt idx="4">
                  <c:v>WhatsApp</c:v>
                </c:pt>
              </c:strCache>
            </c:strRef>
          </c:cat>
          <c:val>
            <c:numRef>
              <c:f>Dashboard!$B$25:$B$29</c:f>
              <c:numCache>
                <c:formatCode>General</c:formatCode>
                <c:ptCount val="5"/>
                <c:pt idx="0">
                  <c:v>6</c:v>
                </c:pt>
                <c:pt idx="1">
                  <c:v>5</c:v>
                </c:pt>
                <c:pt idx="2">
                  <c:v>5</c:v>
                </c:pt>
                <c:pt idx="3">
                  <c:v>6</c:v>
                </c:pt>
                <c:pt idx="4">
                  <c:v>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675" b="0" i="0" u="none" strike="noStrike" kern="1200" baseline="0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</a:p>
        </c:txPr>
        <c:crossAx val="48650112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f0fee251-dd47-4c72-8342-41aa091d036e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0</xdr:colOff>
      <xdr:row>11</xdr:row>
      <xdr:rowOff>0</xdr:rowOff>
    </xdr:from>
    <xdr:to>
      <xdr:col>16</xdr:col>
      <xdr:colOff>0</xdr:colOff>
      <xdr:row>27</xdr:row>
      <xdr:rowOff>0</xdr:rowOff>
    </xdr:to>
    <xdr:graphicFrame>
      <xdr:nvGraphicFramePr>
        <xdr:cNvPr id="2" name="Chart"/>
        <xdr:cNvGraphicFramePr/>
      </xdr:nvGraphicFramePr>
      <xdr:xfrm>
        <a:off x="6858000" y="3124200"/>
        <a:ext cx="8229600" cy="29083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28</xdr:row>
      <xdr:rowOff>0</xdr:rowOff>
    </xdr:from>
    <xdr:to>
      <xdr:col>16</xdr:col>
      <xdr:colOff>0</xdr:colOff>
      <xdr:row>43</xdr:row>
      <xdr:rowOff>0</xdr:rowOff>
    </xdr:to>
    <xdr:graphicFrame>
      <xdr:nvGraphicFramePr>
        <xdr:cNvPr id="3" name="Chart"/>
        <xdr:cNvGraphicFramePr/>
      </xdr:nvGraphicFramePr>
      <xdr:xfrm>
        <a:off x="6858000" y="6210300"/>
        <a:ext cx="8229600" cy="31305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ransportTrips" displayName="TransportTrips" ref="A4:U104" totalsRowShown="0">
  <autoFilter xmlns:etc="http://www.wps.cn/officeDocument/2017/etCustomData" ref="A4:U104" etc:filterBottomFollowUsedRange="0"/>
  <tableColumns count="21">
    <tableColumn id="1" name="Trip ID"/>
    <tableColumn id="2" name="Date"/>
    <tableColumn id="3" name="Service Type"/>
    <tableColumn id="4" name="Cargo Type"/>
    <tableColumn id="5" name="Origin"/>
    <tableColumn id="6" name="Destination"/>
    <tableColumn id="7" name="Distance (km)"/>
    <tableColumn id="8" name="Revenue (PKR)"/>
    <tableColumn id="9" name="Fuel Cost"/>
    <tableColumn id="10" name="Driver/Labor"/>
    <tableColumn id="11" name="Tolls"/>
    <tableColumn id="12" name="Other Cost"/>
    <tableColumn id="13" name="Total Cost"/>
    <tableColumn id="14" name="Profit"/>
    <tableColumn id="15" name="Amount Received"/>
    <tableColumn id="16" name="Outstanding"/>
    <tableColumn id="17" name="Trip Status"/>
    <tableColumn id="18" name="Payment Status"/>
    <tableColumn id="19" name="Lead Source"/>
    <tableColumn id="20" name="Customer Type"/>
    <tableColumn id="21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9"/>
  <sheetViews>
    <sheetView showGridLines="0" tabSelected="1" zoomScale="90" zoomScaleNormal="90" topLeftCell="A14" workbookViewId="0">
      <selection activeCell="A1" sqref="A1:P1"/>
    </sheetView>
  </sheetViews>
  <sheetFormatPr defaultColWidth="9" defaultRowHeight="14"/>
  <cols>
    <col min="1" max="1" width="18" customWidth="1"/>
    <col min="2" max="4" width="13" customWidth="1"/>
    <col min="5" max="6" width="15" customWidth="1"/>
    <col min="7" max="7" width="3" customWidth="1"/>
    <col min="8" max="16" width="12" customWidth="1"/>
  </cols>
  <sheetData>
    <row r="1" ht="38" customHeight="1" spans="1:16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</row>
    <row r="2" ht="26" customHeight="1" spans="1:16">
      <c r="A2" s="30" t="s">
        <v>1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0" t="s">
        <v>1</v>
      </c>
      <c r="O2" s="30" t="s">
        <v>1</v>
      </c>
      <c r="P2" s="30" t="s">
        <v>1</v>
      </c>
    </row>
    <row r="4" spans="1:16">
      <c r="A4" s="31" t="s">
        <v>2</v>
      </c>
      <c r="B4" s="32" t="s">
        <v>2</v>
      </c>
      <c r="C4" s="32" t="s">
        <v>2</v>
      </c>
      <c r="D4" s="33" t="s">
        <v>2</v>
      </c>
      <c r="E4" s="34" t="s">
        <v>3</v>
      </c>
      <c r="F4" s="35" t="s">
        <v>3</v>
      </c>
      <c r="G4" s="35" t="s">
        <v>3</v>
      </c>
      <c r="H4" s="36" t="s">
        <v>3</v>
      </c>
      <c r="I4" s="37" t="s">
        <v>4</v>
      </c>
      <c r="J4" s="38" t="s">
        <v>4</v>
      </c>
      <c r="K4" s="38" t="s">
        <v>4</v>
      </c>
      <c r="L4" s="39" t="s">
        <v>4</v>
      </c>
      <c r="M4" s="40" t="s">
        <v>5</v>
      </c>
      <c r="N4" s="41" t="s">
        <v>5</v>
      </c>
      <c r="O4" s="41" t="s">
        <v>5</v>
      </c>
      <c r="P4" s="42" t="s">
        <v>5</v>
      </c>
    </row>
    <row r="5" ht="28" customHeight="1" spans="1:16">
      <c r="A5" s="43">
        <f>COUNTIFS('Trip Log'!$A$5:$A$104,"&lt;&gt;",'Trip Log'!$Q$5:$Q$104,"Completed")</f>
        <v>26</v>
      </c>
      <c r="B5" s="44"/>
      <c r="C5" s="44"/>
      <c r="D5" s="45"/>
      <c r="E5" s="46">
        <f>SUMIFS('Trip Log'!$H$5:$H$104,'Trip Log'!$Q$5:$Q$104,"Completed")</f>
        <v>2373000</v>
      </c>
      <c r="F5" s="47"/>
      <c r="G5" s="47"/>
      <c r="H5" s="48"/>
      <c r="I5" s="46">
        <f>SUMIFS('Trip Log'!$M$5:$M$104,'Trip Log'!$Q$5:$Q$104,"Completed")</f>
        <v>1295200</v>
      </c>
      <c r="J5" s="47"/>
      <c r="K5" s="47"/>
      <c r="L5" s="48"/>
      <c r="M5" s="46">
        <f>SUMIFS('Trip Log'!$N$5:$N$104,'Trip Log'!$Q$5:$Q$104,"Completed")</f>
        <v>1077800</v>
      </c>
      <c r="N5" s="47"/>
      <c r="O5" s="47"/>
      <c r="P5" s="48"/>
    </row>
    <row r="6" ht="28" customHeight="1" spans="1:16">
      <c r="A6" s="49"/>
      <c r="B6" s="50"/>
      <c r="C6" s="50"/>
      <c r="D6" s="51"/>
      <c r="E6" s="52"/>
      <c r="F6" s="53"/>
      <c r="G6" s="53"/>
      <c r="H6" s="54"/>
      <c r="I6" s="52"/>
      <c r="J6" s="53"/>
      <c r="K6" s="53"/>
      <c r="L6" s="54"/>
      <c r="M6" s="52"/>
      <c r="N6" s="53"/>
      <c r="O6" s="53"/>
      <c r="P6" s="54"/>
    </row>
    <row r="8" spans="1:16">
      <c r="A8" s="34" t="s">
        <v>6</v>
      </c>
      <c r="B8" s="35" t="s">
        <v>6</v>
      </c>
      <c r="C8" s="35" t="s">
        <v>6</v>
      </c>
      <c r="D8" s="36" t="s">
        <v>6</v>
      </c>
      <c r="E8" s="31" t="s">
        <v>7</v>
      </c>
      <c r="F8" s="32" t="s">
        <v>7</v>
      </c>
      <c r="G8" s="32" t="s">
        <v>7</v>
      </c>
      <c r="H8" s="33" t="s">
        <v>7</v>
      </c>
      <c r="I8" s="55" t="s">
        <v>8</v>
      </c>
      <c r="J8" s="56" t="s">
        <v>8</v>
      </c>
      <c r="K8" s="56" t="s">
        <v>8</v>
      </c>
      <c r="L8" s="57" t="s">
        <v>8</v>
      </c>
      <c r="M8" s="58" t="s">
        <v>9</v>
      </c>
      <c r="N8" s="59" t="s">
        <v>9</v>
      </c>
      <c r="O8" s="59" t="s">
        <v>9</v>
      </c>
      <c r="P8" s="60" t="s">
        <v>9</v>
      </c>
    </row>
    <row r="9" ht="28" customHeight="1" spans="1:16">
      <c r="A9" s="46">
        <f>IF(A5=0,0,E5/A5)</f>
        <v>91269.2307692308</v>
      </c>
      <c r="B9" s="47"/>
      <c r="C9" s="47"/>
      <c r="D9" s="48"/>
      <c r="E9" s="61">
        <f>IF(E5=0,0,M5/E5)</f>
        <v>0.454193004635483</v>
      </c>
      <c r="F9" s="62"/>
      <c r="G9" s="62"/>
      <c r="H9" s="63"/>
      <c r="I9" s="46">
        <f>SUMIFS('Trip Log'!$P$5:$P$104,'Trip Log'!$Q$5:$Q$104,"Completed")</f>
        <v>218000</v>
      </c>
      <c r="J9" s="47"/>
      <c r="K9" s="47"/>
      <c r="L9" s="48"/>
      <c r="M9" s="43">
        <f>IF(A5=0,0,SUMIFS('Trip Log'!$G$5:$G$104,'Trip Log'!$Q$5:$Q$104,"Completed")/A5)</f>
        <v>293.192307692308</v>
      </c>
      <c r="N9" s="44"/>
      <c r="O9" s="44"/>
      <c r="P9" s="45"/>
    </row>
    <row r="10" ht="28" customHeight="1" spans="1:16">
      <c r="A10" s="52"/>
      <c r="B10" s="53"/>
      <c r="C10" s="53"/>
      <c r="D10" s="54"/>
      <c r="E10" s="64"/>
      <c r="F10" s="65"/>
      <c r="G10" s="65"/>
      <c r="H10" s="66"/>
      <c r="I10" s="52"/>
      <c r="J10" s="53"/>
      <c r="K10" s="53"/>
      <c r="L10" s="54"/>
      <c r="M10" s="49"/>
      <c r="N10" s="50"/>
      <c r="O10" s="50"/>
      <c r="P10" s="51"/>
    </row>
    <row r="12" ht="16.5" spans="1:16">
      <c r="A12" s="67" t="s">
        <v>10</v>
      </c>
      <c r="B12" s="67" t="s">
        <v>10</v>
      </c>
      <c r="C12" s="67" t="s">
        <v>10</v>
      </c>
      <c r="D12" s="67" t="s">
        <v>10</v>
      </c>
      <c r="E12" s="67" t="s">
        <v>10</v>
      </c>
      <c r="F12" s="67" t="s">
        <v>10</v>
      </c>
    </row>
    <row r="13" spans="1:16">
      <c r="A13" s="68" t="s">
        <v>11</v>
      </c>
      <c r="B13" s="68" t="s">
        <v>3</v>
      </c>
      <c r="C13" s="68" t="s">
        <v>12</v>
      </c>
      <c r="D13" s="68" t="s">
        <v>13</v>
      </c>
      <c r="E13" s="68" t="s">
        <v>2</v>
      </c>
      <c r="F13" s="69" t="s">
        <v>14</v>
      </c>
    </row>
    <row r="14" spans="1:16">
      <c r="A14" s="70" t="str">
        <f>TEXT('Setup &amp; Lists'!F5,"mmm yyyy")</f>
        <v>Jan 2026</v>
      </c>
      <c r="B14" s="71">
        <f>SUMIFS('Trip Log'!$H$5:$H$104,'Trip Log'!$Q$5:$Q$104,"Completed",'Trip Log'!$B$5:$B$104,"&gt;="&amp;$F14,'Trip Log'!$B$5:$B$104,"&lt;"&amp;EDATE($F14,1))</f>
        <v>205000</v>
      </c>
      <c r="C14" s="71">
        <f>SUMIFS('Trip Log'!$M$5:$M$104,'Trip Log'!$Q$5:$Q$104,"Completed",'Trip Log'!$B$5:$B$104,"&gt;="&amp;$F14,'Trip Log'!$B$5:$B$104,"&lt;"&amp;EDATE($F14,1))</f>
        <v>107500</v>
      </c>
      <c r="D14" s="71">
        <f>SUMIFS('Trip Log'!$N$5:$N$104,'Trip Log'!$Q$5:$Q$104,"Completed",'Trip Log'!$B$5:$B$104,"&gt;="&amp;$F14,'Trip Log'!$B$5:$B$104,"&lt;"&amp;EDATE($F14,1))</f>
        <v>97500</v>
      </c>
      <c r="E14" s="72">
        <f>COUNTIFS('Trip Log'!$Q$5:$Q$104,"Completed",'Trip Log'!$B$5:$B$104,"&gt;="&amp;$F14,'Trip Log'!$B$5:$B$104,"&lt;"&amp;EDATE($F14,1))</f>
        <v>3</v>
      </c>
      <c r="F14" s="73">
        <f>'Setup &amp; Lists'!F5</f>
        <v>46023</v>
      </c>
    </row>
    <row r="15" spans="1:16">
      <c r="A15" s="74" t="str">
        <f>TEXT('Setup &amp; Lists'!F6,"mmm yyyy")</f>
        <v>Feb 2026</v>
      </c>
      <c r="B15" s="75">
        <f>SUMIFS('Trip Log'!$H$5:$H$104,'Trip Log'!$Q$5:$Q$104,"Completed",'Trip Log'!$B$5:$B$104,"&gt;="&amp;$F15,'Trip Log'!$B$5:$B$104,"&lt;"&amp;EDATE($F15,1))</f>
        <v>344000</v>
      </c>
      <c r="C15" s="75">
        <f>SUMIFS('Trip Log'!$M$5:$M$104,'Trip Log'!$Q$5:$Q$104,"Completed",'Trip Log'!$B$5:$B$104,"&gt;="&amp;$F15,'Trip Log'!$B$5:$B$104,"&lt;"&amp;EDATE($F15,1))</f>
        <v>185600</v>
      </c>
      <c r="D15" s="75">
        <f>SUMIFS('Trip Log'!$N$5:$N$104,'Trip Log'!$Q$5:$Q$104,"Completed",'Trip Log'!$B$5:$B$104,"&gt;="&amp;$F15,'Trip Log'!$B$5:$B$104,"&lt;"&amp;EDATE($F15,1))</f>
        <v>158400</v>
      </c>
      <c r="E15" s="76">
        <f>COUNTIFS('Trip Log'!$Q$5:$Q$104,"Completed",'Trip Log'!$B$5:$B$104,"&gt;="&amp;$F15,'Trip Log'!$B$5:$B$104,"&lt;"&amp;EDATE($F15,1))</f>
        <v>4</v>
      </c>
      <c r="F15" s="77">
        <f>'Setup &amp; Lists'!F6</f>
        <v>46054</v>
      </c>
    </row>
    <row r="16" spans="1:16">
      <c r="A16" s="74" t="str">
        <f>TEXT('Setup &amp; Lists'!F7,"mmm yyyy")</f>
        <v>Mar 2026</v>
      </c>
      <c r="B16" s="75">
        <f>SUMIFS('Trip Log'!$H$5:$H$104,'Trip Log'!$Q$5:$Q$104,"Completed",'Trip Log'!$B$5:$B$104,"&gt;="&amp;$F16,'Trip Log'!$B$5:$B$104,"&lt;"&amp;EDATE($F16,1))</f>
        <v>376000</v>
      </c>
      <c r="C16" s="75">
        <f>SUMIFS('Trip Log'!$M$5:$M$104,'Trip Log'!$Q$5:$Q$104,"Completed",'Trip Log'!$B$5:$B$104,"&gt;="&amp;$F16,'Trip Log'!$B$5:$B$104,"&lt;"&amp;EDATE($F16,1))</f>
        <v>208800</v>
      </c>
      <c r="D16" s="75">
        <f>SUMIFS('Trip Log'!$N$5:$N$104,'Trip Log'!$Q$5:$Q$104,"Completed",'Trip Log'!$B$5:$B$104,"&gt;="&amp;$F16,'Trip Log'!$B$5:$B$104,"&lt;"&amp;EDATE($F16,1))</f>
        <v>167200</v>
      </c>
      <c r="E16" s="76">
        <f>COUNTIFS('Trip Log'!$Q$5:$Q$104,"Completed",'Trip Log'!$B$5:$B$104,"&gt;="&amp;$F16,'Trip Log'!$B$5:$B$104,"&lt;"&amp;EDATE($F16,1))</f>
        <v>4</v>
      </c>
      <c r="F16" s="77">
        <f>'Setup &amp; Lists'!F7</f>
        <v>46082</v>
      </c>
    </row>
    <row r="17" spans="1:6">
      <c r="A17" s="74" t="str">
        <f>TEXT('Setup &amp; Lists'!F8,"mmm yyyy")</f>
        <v>Apr 2026</v>
      </c>
      <c r="B17" s="75">
        <f>SUMIFS('Trip Log'!$H$5:$H$104,'Trip Log'!$Q$5:$Q$104,"Completed",'Trip Log'!$B$5:$B$104,"&gt;="&amp;$F17,'Trip Log'!$B$5:$B$104,"&lt;"&amp;EDATE($F17,1))</f>
        <v>397000</v>
      </c>
      <c r="C17" s="75">
        <f>SUMIFS('Trip Log'!$M$5:$M$104,'Trip Log'!$Q$5:$Q$104,"Completed",'Trip Log'!$B$5:$B$104,"&gt;="&amp;$F17,'Trip Log'!$B$5:$B$104,"&lt;"&amp;EDATE($F17,1))</f>
        <v>219000</v>
      </c>
      <c r="D17" s="75">
        <f>SUMIFS('Trip Log'!$N$5:$N$104,'Trip Log'!$Q$5:$Q$104,"Completed",'Trip Log'!$B$5:$B$104,"&gt;="&amp;$F17,'Trip Log'!$B$5:$B$104,"&lt;"&amp;EDATE($F17,1))</f>
        <v>178000</v>
      </c>
      <c r="E17" s="76">
        <f>COUNTIFS('Trip Log'!$Q$5:$Q$104,"Completed",'Trip Log'!$B$5:$B$104,"&gt;="&amp;$F17,'Trip Log'!$B$5:$B$104,"&lt;"&amp;EDATE($F17,1))</f>
        <v>4</v>
      </c>
      <c r="F17" s="77">
        <f>'Setup &amp; Lists'!F8</f>
        <v>46113</v>
      </c>
    </row>
    <row r="18" spans="1:6">
      <c r="A18" s="74" t="str">
        <f>TEXT('Setup &amp; Lists'!F9,"mmm yyyy")</f>
        <v>May 2026</v>
      </c>
      <c r="B18" s="75">
        <f>SUMIFS('Trip Log'!$H$5:$H$104,'Trip Log'!$Q$5:$Q$104,"Completed",'Trip Log'!$B$5:$B$104,"&gt;="&amp;$F18,'Trip Log'!$B$5:$B$104,"&lt;"&amp;EDATE($F18,1))</f>
        <v>255000</v>
      </c>
      <c r="C18" s="75">
        <f>SUMIFS('Trip Log'!$M$5:$M$104,'Trip Log'!$Q$5:$Q$104,"Completed",'Trip Log'!$B$5:$B$104,"&gt;="&amp;$F18,'Trip Log'!$B$5:$B$104,"&lt;"&amp;EDATE($F18,1))</f>
        <v>133600</v>
      </c>
      <c r="D18" s="75">
        <f>SUMIFS('Trip Log'!$N$5:$N$104,'Trip Log'!$Q$5:$Q$104,"Completed",'Trip Log'!$B$5:$B$104,"&gt;="&amp;$F18,'Trip Log'!$B$5:$B$104,"&lt;"&amp;EDATE($F18,1))</f>
        <v>121400</v>
      </c>
      <c r="E18" s="76">
        <f>COUNTIFS('Trip Log'!$Q$5:$Q$104,"Completed",'Trip Log'!$B$5:$B$104,"&gt;="&amp;$F18,'Trip Log'!$B$5:$B$104,"&lt;"&amp;EDATE($F18,1))</f>
        <v>3</v>
      </c>
      <c r="F18" s="77">
        <f>'Setup &amp; Lists'!F9</f>
        <v>46143</v>
      </c>
    </row>
    <row r="19" spans="1:6">
      <c r="A19" s="74" t="str">
        <f>TEXT('Setup &amp; Lists'!F10,"mmm yyyy")</f>
        <v>Jun 2026</v>
      </c>
      <c r="B19" s="75">
        <f>SUMIFS('Trip Log'!$H$5:$H$104,'Trip Log'!$Q$5:$Q$104,"Completed",'Trip Log'!$B$5:$B$104,"&gt;="&amp;$F19,'Trip Log'!$B$5:$B$104,"&lt;"&amp;EDATE($F19,1))</f>
        <v>396000</v>
      </c>
      <c r="C19" s="75">
        <f>SUMIFS('Trip Log'!$M$5:$M$104,'Trip Log'!$Q$5:$Q$104,"Completed",'Trip Log'!$B$5:$B$104,"&gt;="&amp;$F19,'Trip Log'!$B$5:$B$104,"&lt;"&amp;EDATE($F19,1))</f>
        <v>221900</v>
      </c>
      <c r="D19" s="75">
        <f>SUMIFS('Trip Log'!$N$5:$N$104,'Trip Log'!$Q$5:$Q$104,"Completed",'Trip Log'!$B$5:$B$104,"&gt;="&amp;$F19,'Trip Log'!$B$5:$B$104,"&lt;"&amp;EDATE($F19,1))</f>
        <v>174100</v>
      </c>
      <c r="E19" s="76">
        <f>COUNTIFS('Trip Log'!$Q$5:$Q$104,"Completed",'Trip Log'!$B$5:$B$104,"&gt;="&amp;$F19,'Trip Log'!$B$5:$B$104,"&lt;"&amp;EDATE($F19,1))</f>
        <v>4</v>
      </c>
      <c r="F19" s="77">
        <f>'Setup &amp; Lists'!F10</f>
        <v>46174</v>
      </c>
    </row>
    <row r="20" spans="1:6">
      <c r="A20" s="74" t="str">
        <f>TEXT('Setup &amp; Lists'!F11,"mmm yyyy")</f>
        <v>Jul 2026</v>
      </c>
      <c r="B20" s="75">
        <f>SUMIFS('Trip Log'!$H$5:$H$104,'Trip Log'!$Q$5:$Q$104,"Completed",'Trip Log'!$B$5:$B$104,"&gt;="&amp;$F20,'Trip Log'!$B$5:$B$104,"&lt;"&amp;EDATE($F20,1))</f>
        <v>400000</v>
      </c>
      <c r="C20" s="75">
        <f>SUMIFS('Trip Log'!$M$5:$M$104,'Trip Log'!$Q$5:$Q$104,"Completed",'Trip Log'!$B$5:$B$104,"&gt;="&amp;$F20,'Trip Log'!$B$5:$B$104,"&lt;"&amp;EDATE($F20,1))</f>
        <v>218800</v>
      </c>
      <c r="D20" s="75">
        <f>SUMIFS('Trip Log'!$N$5:$N$104,'Trip Log'!$Q$5:$Q$104,"Completed",'Trip Log'!$B$5:$B$104,"&gt;="&amp;$F20,'Trip Log'!$B$5:$B$104,"&lt;"&amp;EDATE($F20,1))</f>
        <v>181200</v>
      </c>
      <c r="E20" s="76">
        <f>COUNTIFS('Trip Log'!$Q$5:$Q$104,"Completed",'Trip Log'!$B$5:$B$104,"&gt;="&amp;$F20,'Trip Log'!$B$5:$B$104,"&lt;"&amp;EDATE($F20,1))</f>
        <v>4</v>
      </c>
      <c r="F20" s="77">
        <f>'Setup &amp; Lists'!F11</f>
        <v>46204</v>
      </c>
    </row>
    <row r="21" spans="1:6">
      <c r="A21" s="22"/>
      <c r="B21" s="22"/>
      <c r="C21" s="22"/>
      <c r="D21" s="22"/>
      <c r="E21" s="22"/>
      <c r="F21" s="22"/>
    </row>
    <row r="22" spans="1:6">
      <c r="A22" s="22"/>
      <c r="B22" s="22"/>
      <c r="C22" s="22"/>
      <c r="D22" s="22"/>
      <c r="E22" s="22"/>
      <c r="F22" s="22"/>
    </row>
    <row r="23" ht="16.5" spans="1:6">
      <c r="A23" s="67" t="s">
        <v>15</v>
      </c>
      <c r="B23" s="67" t="s">
        <v>15</v>
      </c>
      <c r="C23" s="67" t="s">
        <v>15</v>
      </c>
      <c r="D23" s="67" t="s">
        <v>15</v>
      </c>
      <c r="E23" s="22"/>
      <c r="F23" s="22"/>
    </row>
    <row r="24" spans="1:6">
      <c r="A24" s="78" t="s">
        <v>16</v>
      </c>
      <c r="B24" s="78" t="s">
        <v>2</v>
      </c>
      <c r="C24" s="78" t="s">
        <v>3</v>
      </c>
      <c r="D24" s="78" t="s">
        <v>13</v>
      </c>
      <c r="E24" s="22"/>
      <c r="F24" s="22"/>
    </row>
    <row r="25" spans="1:6">
      <c r="A25" s="70" t="str">
        <f>'Setup &amp; Lists'!A5</f>
        <v>Facebook</v>
      </c>
      <c r="B25" s="70">
        <f>COUNTIFS('Trip Log'!$Q$5:$Q$104,"Completed",'Trip Log'!$S$5:$S$104,$A25)</f>
        <v>6</v>
      </c>
      <c r="C25" s="71">
        <f>SUMIFS('Trip Log'!$H$5:$H$104,'Trip Log'!$Q$5:$Q$104,"Completed",'Trip Log'!$S$5:$S$104,$A25)</f>
        <v>376000</v>
      </c>
      <c r="D25" s="71">
        <f>SUMIFS('Trip Log'!$N$5:$N$104,'Trip Log'!$Q$5:$Q$104,"Completed",'Trip Log'!$S$5:$S$104,$A25)</f>
        <v>146600</v>
      </c>
      <c r="E25" s="22"/>
      <c r="F25" s="22"/>
    </row>
    <row r="26" spans="1:6">
      <c r="A26" s="74" t="str">
        <f>'Setup &amp; Lists'!A6</f>
        <v>Referral</v>
      </c>
      <c r="B26" s="74">
        <f>COUNTIFS('Trip Log'!$Q$5:$Q$104,"Completed",'Trip Log'!$S$5:$S$104,$A26)</f>
        <v>5</v>
      </c>
      <c r="C26" s="75">
        <f>SUMIFS('Trip Log'!$H$5:$H$104,'Trip Log'!$Q$5:$Q$104,"Completed",'Trip Log'!$S$5:$S$104,$A26)</f>
        <v>435000</v>
      </c>
      <c r="D26" s="75">
        <f>SUMIFS('Trip Log'!$N$5:$N$104,'Trip Log'!$Q$5:$Q$104,"Completed",'Trip Log'!$S$5:$S$104,$A26)</f>
        <v>186700</v>
      </c>
      <c r="E26" s="22"/>
      <c r="F26" s="22"/>
    </row>
    <row r="27" spans="1:6">
      <c r="A27" s="74" t="str">
        <f>'Setup &amp; Lists'!A7</f>
        <v>Adda/Network</v>
      </c>
      <c r="B27" s="74">
        <f>COUNTIFS('Trip Log'!$Q$5:$Q$104,"Completed",'Trip Log'!$S$5:$S$104,$A27)</f>
        <v>5</v>
      </c>
      <c r="C27" s="75">
        <f>SUMIFS('Trip Log'!$H$5:$H$104,'Trip Log'!$Q$5:$Q$104,"Completed",'Trip Log'!$S$5:$S$104,$A27)</f>
        <v>505000</v>
      </c>
      <c r="D27" s="75">
        <f>SUMIFS('Trip Log'!$N$5:$N$104,'Trip Log'!$Q$5:$Q$104,"Completed",'Trip Log'!$S$5:$S$104,$A27)</f>
        <v>239600</v>
      </c>
      <c r="E27" s="22"/>
      <c r="F27" s="22"/>
    </row>
    <row r="28" spans="1:6">
      <c r="A28" s="74" t="str">
        <f>'Setup &amp; Lists'!A8</f>
        <v>Repeat Customer</v>
      </c>
      <c r="B28" s="74">
        <f>COUNTIFS('Trip Log'!$Q$5:$Q$104,"Completed",'Trip Log'!$S$5:$S$104,$A28)</f>
        <v>6</v>
      </c>
      <c r="C28" s="75">
        <f>SUMIFS('Trip Log'!$H$5:$H$104,'Trip Log'!$Q$5:$Q$104,"Completed",'Trip Log'!$S$5:$S$104,$A28)</f>
        <v>655000</v>
      </c>
      <c r="D28" s="75">
        <f>SUMIFS('Trip Log'!$N$5:$N$104,'Trip Log'!$Q$5:$Q$104,"Completed",'Trip Log'!$S$5:$S$104,$A28)</f>
        <v>314700</v>
      </c>
      <c r="E28" s="22"/>
      <c r="F28" s="22"/>
    </row>
    <row r="29" spans="1:6">
      <c r="A29" s="74" t="str">
        <f>'Setup &amp; Lists'!A9</f>
        <v>WhatsApp</v>
      </c>
      <c r="B29" s="74">
        <f>COUNTIFS('Trip Log'!$Q$5:$Q$104,"Completed",'Trip Log'!$S$5:$S$104,$A29)</f>
        <v>4</v>
      </c>
      <c r="C29" s="75">
        <f>SUMIFS('Trip Log'!$H$5:$H$104,'Trip Log'!$Q$5:$Q$104,"Completed",'Trip Log'!$S$5:$S$104,$A29)</f>
        <v>402000</v>
      </c>
      <c r="D29" s="75">
        <f>SUMIFS('Trip Log'!$N$5:$N$104,'Trip Log'!$Q$5:$Q$104,"Completed",'Trip Log'!$S$5:$S$104,$A29)</f>
        <v>190200</v>
      </c>
      <c r="E29" s="22"/>
      <c r="F29" s="22"/>
    </row>
    <row r="30" spans="1:6">
      <c r="A30" s="22"/>
      <c r="B30" s="22"/>
      <c r="C30" s="22"/>
      <c r="D30" s="22"/>
      <c r="E30" s="22"/>
      <c r="F30" s="22"/>
    </row>
    <row r="31" spans="1:6">
      <c r="A31" s="22"/>
      <c r="B31" s="22"/>
      <c r="C31" s="22"/>
      <c r="D31" s="22"/>
      <c r="E31" s="22"/>
      <c r="F31" s="22"/>
    </row>
    <row r="32" ht="16.5" spans="1:6">
      <c r="A32" s="67" t="s">
        <v>17</v>
      </c>
      <c r="B32" s="67" t="s">
        <v>17</v>
      </c>
      <c r="C32" s="67" t="s">
        <v>17</v>
      </c>
      <c r="D32" s="67" t="s">
        <v>17</v>
      </c>
      <c r="E32" s="67" t="s">
        <v>17</v>
      </c>
      <c r="F32" s="22"/>
    </row>
    <row r="33" spans="1:6">
      <c r="A33" s="78" t="s">
        <v>18</v>
      </c>
      <c r="B33" s="78" t="s">
        <v>19</v>
      </c>
      <c r="C33" s="78" t="s">
        <v>3</v>
      </c>
      <c r="D33" s="78" t="s">
        <v>13</v>
      </c>
      <c r="E33" s="78" t="s">
        <v>7</v>
      </c>
      <c r="F33" s="22"/>
    </row>
    <row r="34" spans="1:6">
      <c r="A34" s="70" t="str">
        <f>'Setup &amp; Lists'!B5</f>
        <v>Agricultural Goods</v>
      </c>
      <c r="B34" s="70">
        <f>COUNTIFS('Trip Log'!$Q$5:$Q$104,"Completed",'Trip Log'!$C$5:$C$104,$A34)</f>
        <v>8</v>
      </c>
      <c r="C34" s="71">
        <f>SUMIFS('Trip Log'!$H$5:$H$104,'Trip Log'!$Q$5:$Q$104,"Completed",'Trip Log'!$C$5:$C$104,$A34)</f>
        <v>886000</v>
      </c>
      <c r="D34" s="71">
        <f>SUMIFS('Trip Log'!$N$5:$N$104,'Trip Log'!$Q$5:$Q$104,"Completed",'Trip Log'!$C$5:$C$104,$A34)</f>
        <v>426500</v>
      </c>
      <c r="E34" s="79">
        <f>IF(C34=0,0,D34/C34)</f>
        <v>0.4813769751693</v>
      </c>
      <c r="F34" s="22"/>
    </row>
    <row r="35" spans="1:6">
      <c r="A35" s="74" t="str">
        <f>'Setup &amp; Lists'!B6</f>
        <v>General Goods</v>
      </c>
      <c r="B35" s="74">
        <f>COUNTIFS('Trip Log'!$Q$5:$Q$104,"Completed",'Trip Log'!$C$5:$C$104,$A35)</f>
        <v>11</v>
      </c>
      <c r="C35" s="75">
        <f>SUMIFS('Trip Log'!$H$5:$H$104,'Trip Log'!$Q$5:$Q$104,"Completed",'Trip Log'!$C$5:$C$104,$A35)</f>
        <v>1099000</v>
      </c>
      <c r="D35" s="75">
        <f>SUMIFS('Trip Log'!$N$5:$N$104,'Trip Log'!$Q$5:$Q$104,"Completed",'Trip Log'!$C$5:$C$104,$A35)</f>
        <v>523400</v>
      </c>
      <c r="E35" s="80">
        <f>IF(C35=0,0,D35/C35)</f>
        <v>0.476251137397634</v>
      </c>
      <c r="F35" s="22"/>
    </row>
    <row r="36" spans="1:6">
      <c r="A36" s="74" t="str">
        <f>'Setup &amp; Lists'!B7</f>
        <v>Home Shifting</v>
      </c>
      <c r="B36" s="74">
        <f>COUNTIFS('Trip Log'!$Q$5:$Q$104,"Completed",'Trip Log'!$C$5:$C$104,$A36)</f>
        <v>7</v>
      </c>
      <c r="C36" s="75">
        <f>SUMIFS('Trip Log'!$H$5:$H$104,'Trip Log'!$Q$5:$Q$104,"Completed",'Trip Log'!$C$5:$C$104,$A36)</f>
        <v>388000</v>
      </c>
      <c r="D36" s="75">
        <f>SUMIFS('Trip Log'!$N$5:$N$104,'Trip Log'!$Q$5:$Q$104,"Completed",'Trip Log'!$C$5:$C$104,$A36)</f>
        <v>127900</v>
      </c>
      <c r="E36" s="80">
        <f>IF(C36=0,0,D36/C36)</f>
        <v>0.329639175257732</v>
      </c>
      <c r="F36" s="22"/>
    </row>
    <row r="37" spans="1:6">
      <c r="A37" s="22"/>
      <c r="B37" s="22"/>
      <c r="C37" s="22"/>
      <c r="D37" s="22"/>
      <c r="E37" s="22"/>
      <c r="F37" s="22"/>
    </row>
    <row r="38" spans="1:6">
      <c r="A38" s="22"/>
      <c r="B38" s="22"/>
      <c r="C38" s="22"/>
      <c r="D38" s="22"/>
      <c r="E38" s="22"/>
      <c r="F38" s="22"/>
    </row>
    <row r="39" ht="24" customHeight="1" spans="1:6">
      <c r="A39" s="81" t="s">
        <v>20</v>
      </c>
      <c r="B39" s="81"/>
      <c r="C39" s="81"/>
      <c r="D39" s="81"/>
      <c r="E39" s="81"/>
      <c r="F39" s="81"/>
    </row>
    <row r="40" ht="22" customHeight="1" spans="1:6">
      <c r="A40" s="82" t="s">
        <v>21</v>
      </c>
      <c r="B40" s="82" t="s">
        <v>2</v>
      </c>
      <c r="C40" s="82" t="s">
        <v>3</v>
      </c>
      <c r="D40" s="82" t="s">
        <v>4</v>
      </c>
      <c r="E40" s="82" t="s">
        <v>5</v>
      </c>
      <c r="F40" s="82" t="s">
        <v>7</v>
      </c>
    </row>
    <row r="41" ht="22" customHeight="1" spans="1:6">
      <c r="A41" s="83">
        <f>IF(COUNTA('Trip Log'!$B$5:$B$104)=0,"",YEAR(MAX('Trip Log'!$B$5:$B$104)))</f>
        <v>2026</v>
      </c>
      <c r="B41" s="84">
        <f>IF($A41="",0,COUNTIFS('Trip Log'!$Q$5:$Q$104,"Completed",'Trip Log'!$B$5:$B$104,"&gt;="&amp;DATE($A41,1,1),'Trip Log'!$B$5:$B$104,"&lt;"&amp;DATE($A41+1,1,1)))</f>
        <v>26</v>
      </c>
      <c r="C41" s="85">
        <f>IF($A41="",0,SUMIFS('Trip Log'!$H$5:$H$104,'Trip Log'!$Q$5:$Q$104,"Completed",'Trip Log'!$B$5:$B$104,"&gt;="&amp;DATE($A41,1,1),'Trip Log'!$B$5:$B$104,"&lt;"&amp;DATE($A41+1,1,1)))</f>
        <v>2373000</v>
      </c>
      <c r="D41" s="85">
        <f>IF($A41="",0,SUMIFS('Trip Log'!$M$5:$M$104,'Trip Log'!$Q$5:$Q$104,"Completed",'Trip Log'!$B$5:$B$104,"&gt;="&amp;DATE($A41,1,1),'Trip Log'!$B$5:$B$104,"&lt;"&amp;DATE($A41+1,1,1)))</f>
        <v>1295200</v>
      </c>
      <c r="E41" s="85">
        <f>IF($A41="",0,SUMIFS('Trip Log'!$N$5:$N$104,'Trip Log'!$Q$5:$Q$104,"Completed",'Trip Log'!$B$5:$B$104,"&gt;="&amp;DATE($A41,1,1),'Trip Log'!$B$5:$B$104,"&lt;"&amp;DATE($A41+1,1,1)))</f>
        <v>1077800</v>
      </c>
      <c r="F41" s="86">
        <f>IF(C41=0,0,E41/C41)</f>
        <v>0.454193004635483</v>
      </c>
    </row>
    <row r="42" ht="22" customHeight="1" spans="1:6">
      <c r="A42" s="87" t="s">
        <v>22</v>
      </c>
      <c r="B42" s="88"/>
      <c r="C42" s="88"/>
      <c r="D42" s="88"/>
      <c r="E42" s="88"/>
      <c r="F42" s="89"/>
    </row>
    <row r="45" ht="24" customHeight="1" spans="1:6">
      <c r="A45" s="90" t="s">
        <v>23</v>
      </c>
      <c r="B45" s="90"/>
      <c r="C45" s="90"/>
      <c r="D45" s="90"/>
      <c r="E45" s="90"/>
      <c r="F45" s="90"/>
    </row>
    <row r="46" ht="18" customHeight="1" spans="1:6">
      <c r="A46" s="91" t="s">
        <v>24</v>
      </c>
      <c r="B46" s="92"/>
      <c r="C46" s="92"/>
      <c r="D46" s="92"/>
      <c r="E46" s="92"/>
      <c r="F46" s="93"/>
    </row>
    <row r="47" ht="18" customHeight="1" spans="1:6">
      <c r="A47" s="94"/>
      <c r="B47" s="95"/>
      <c r="C47" s="95"/>
      <c r="D47" s="95"/>
      <c r="E47" s="95"/>
      <c r="F47" s="96"/>
    </row>
    <row r="48" ht="18" customHeight="1" spans="1:6">
      <c r="A48" s="94"/>
      <c r="B48" s="95"/>
      <c r="C48" s="95"/>
      <c r="D48" s="95"/>
      <c r="E48" s="95"/>
      <c r="F48" s="96"/>
    </row>
    <row r="49" ht="18" customHeight="1" spans="1:6">
      <c r="A49" s="97"/>
      <c r="B49" s="98"/>
      <c r="C49" s="98"/>
      <c r="D49" s="98"/>
      <c r="E49" s="98"/>
      <c r="F49" s="99"/>
    </row>
  </sheetData>
  <mergeCells count="25">
    <mergeCell ref="A1:P1"/>
    <mergeCell ref="A2:P2"/>
    <mergeCell ref="A4:D4"/>
    <mergeCell ref="E4:H4"/>
    <mergeCell ref="I4:L4"/>
    <mergeCell ref="M4:P4"/>
    <mergeCell ref="A8:D8"/>
    <mergeCell ref="E8:H8"/>
    <mergeCell ref="I8:L8"/>
    <mergeCell ref="M8:P8"/>
    <mergeCell ref="A12:F12"/>
    <mergeCell ref="A23:D23"/>
    <mergeCell ref="A32:E32"/>
    <mergeCell ref="A39:F39"/>
    <mergeCell ref="A42:F42"/>
    <mergeCell ref="A45:F45"/>
    <mergeCell ref="A5:D6"/>
    <mergeCell ref="E5:H6"/>
    <mergeCell ref="I5:L6"/>
    <mergeCell ref="M5:P6"/>
    <mergeCell ref="A9:D10"/>
    <mergeCell ref="E9:H10"/>
    <mergeCell ref="I9:L10"/>
    <mergeCell ref="M9:P10"/>
    <mergeCell ref="A46:F49"/>
  </mergeCells>
  <conditionalFormatting sqref="B25:B29">
    <cfRule type="dataBar" priority="1">
      <dataBar>
        <cfvo type="min"/>
        <cfvo type="max"/>
        <color rgb="FF187A72"/>
      </dataBar>
      <extLst>
        <ext xmlns:x14="http://schemas.microsoft.com/office/spreadsheetml/2009/9/main" uri="{B025F937-C7B1-47D3-B67F-A62EFF666E3E}">
          <x14:id>{7454169e-320b-45fb-aab4-6a7c559f6af0}</x14:id>
        </ext>
      </extLst>
    </cfRule>
  </conditionalFormatting>
  <pageMargins left="0.7" right="0.7" top="0.75" bottom="0.75" header="0.3" footer="0.3"/>
  <headerFooter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454169e-320b-45fb-aab4-6a7c559f6af0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B25:B29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04"/>
  <sheetViews>
    <sheetView showGridLines="0" topLeftCell="A3" workbookViewId="0">
      <selection activeCell="A1" sqref="A1:U1"/>
    </sheetView>
  </sheetViews>
  <sheetFormatPr defaultColWidth="9" defaultRowHeight="14"/>
  <cols>
    <col min="1" max="1" width="11" customWidth="1"/>
    <col min="2" max="2" width="13" customWidth="1"/>
    <col min="3" max="4" width="20" customWidth="1"/>
    <col min="5" max="6" width="15" customWidth="1"/>
    <col min="7" max="7" width="13" customWidth="1"/>
    <col min="8" max="16" width="15" customWidth="1"/>
    <col min="17" max="18" width="16" customWidth="1"/>
    <col min="19" max="20" width="18" customWidth="1"/>
    <col min="21" max="21" width="22" customWidth="1"/>
  </cols>
  <sheetData>
    <row r="1" ht="34" customHeight="1" spans="1:21">
      <c r="A1" s="1" t="s">
        <v>25</v>
      </c>
      <c r="B1" s="1" t="s">
        <v>25</v>
      </c>
      <c r="C1" s="1" t="s">
        <v>25</v>
      </c>
      <c r="D1" s="1" t="s">
        <v>25</v>
      </c>
      <c r="E1" s="1" t="s">
        <v>25</v>
      </c>
      <c r="F1" s="1" t="s">
        <v>25</v>
      </c>
      <c r="G1" s="1" t="s">
        <v>25</v>
      </c>
      <c r="H1" s="1" t="s">
        <v>25</v>
      </c>
      <c r="I1" s="1" t="s">
        <v>25</v>
      </c>
      <c r="J1" s="1" t="s">
        <v>25</v>
      </c>
      <c r="K1" s="1" t="s">
        <v>25</v>
      </c>
      <c r="L1" s="1" t="s">
        <v>25</v>
      </c>
      <c r="M1" s="1" t="s">
        <v>25</v>
      </c>
      <c r="N1" s="1" t="s">
        <v>25</v>
      </c>
      <c r="O1" s="1" t="s">
        <v>25</v>
      </c>
      <c r="P1" s="1" t="s">
        <v>25</v>
      </c>
      <c r="Q1" s="1" t="s">
        <v>25</v>
      </c>
      <c r="R1" s="1" t="s">
        <v>25</v>
      </c>
      <c r="S1" s="1" t="s">
        <v>25</v>
      </c>
      <c r="T1" s="1" t="s">
        <v>25</v>
      </c>
      <c r="U1" s="1" t="s">
        <v>25</v>
      </c>
    </row>
    <row r="2" ht="26" customHeight="1" spans="1:21">
      <c r="A2" s="17" t="s">
        <v>26</v>
      </c>
      <c r="B2" s="17" t="s">
        <v>26</v>
      </c>
      <c r="C2" s="17" t="s">
        <v>26</v>
      </c>
      <c r="D2" s="17" t="s">
        <v>26</v>
      </c>
      <c r="E2" s="17" t="s">
        <v>26</v>
      </c>
      <c r="F2" s="17" t="s">
        <v>26</v>
      </c>
      <c r="G2" s="17" t="s">
        <v>26</v>
      </c>
      <c r="H2" s="17" t="s">
        <v>26</v>
      </c>
      <c r="I2" s="17" t="s">
        <v>26</v>
      </c>
      <c r="J2" s="17" t="s">
        <v>26</v>
      </c>
      <c r="K2" s="17" t="s">
        <v>26</v>
      </c>
      <c r="L2" s="17" t="s">
        <v>26</v>
      </c>
      <c r="M2" s="17" t="s">
        <v>26</v>
      </c>
      <c r="N2" s="17" t="s">
        <v>26</v>
      </c>
      <c r="O2" s="17" t="s">
        <v>26</v>
      </c>
      <c r="P2" s="17" t="s">
        <v>26</v>
      </c>
      <c r="Q2" s="17" t="s">
        <v>26</v>
      </c>
      <c r="R2" s="17" t="s">
        <v>26</v>
      </c>
      <c r="S2" s="17" t="s">
        <v>26</v>
      </c>
      <c r="T2" s="17" t="s">
        <v>26</v>
      </c>
      <c r="U2" s="17" t="s">
        <v>26</v>
      </c>
    </row>
    <row r="3" ht="24" customHeight="1" spans="1:21">
      <c r="A3" s="18" t="s">
        <v>27</v>
      </c>
      <c r="B3" s="18" t="s">
        <v>27</v>
      </c>
      <c r="C3" s="18" t="s">
        <v>27</v>
      </c>
      <c r="D3" s="18" t="s">
        <v>27</v>
      </c>
      <c r="E3" s="18" t="s">
        <v>27</v>
      </c>
      <c r="F3" s="18" t="s">
        <v>27</v>
      </c>
      <c r="G3" s="18" t="s">
        <v>27</v>
      </c>
      <c r="H3" s="18" t="s">
        <v>27</v>
      </c>
      <c r="I3" s="18" t="s">
        <v>27</v>
      </c>
      <c r="J3" s="18" t="s">
        <v>27</v>
      </c>
      <c r="K3" s="18" t="s">
        <v>27</v>
      </c>
      <c r="L3" s="18" t="s">
        <v>27</v>
      </c>
      <c r="M3" s="18" t="s">
        <v>27</v>
      </c>
      <c r="N3" s="18" t="s">
        <v>27</v>
      </c>
      <c r="O3" s="18" t="s">
        <v>27</v>
      </c>
      <c r="P3" s="18" t="s">
        <v>27</v>
      </c>
      <c r="Q3" s="18" t="s">
        <v>27</v>
      </c>
      <c r="R3" s="18" t="s">
        <v>27</v>
      </c>
      <c r="S3" s="18" t="s">
        <v>27</v>
      </c>
      <c r="T3" s="18" t="s">
        <v>27</v>
      </c>
      <c r="U3" s="18" t="s">
        <v>27</v>
      </c>
    </row>
    <row r="4" ht="36" customHeight="1" spans="1:21">
      <c r="A4" s="19" t="s">
        <v>28</v>
      </c>
      <c r="B4" s="20" t="s">
        <v>29</v>
      </c>
      <c r="C4" s="20" t="s">
        <v>18</v>
      </c>
      <c r="D4" s="20" t="s">
        <v>30</v>
      </c>
      <c r="E4" s="20" t="s">
        <v>31</v>
      </c>
      <c r="F4" s="20" t="s">
        <v>32</v>
      </c>
      <c r="G4" s="20" t="s">
        <v>33</v>
      </c>
      <c r="H4" s="20" t="s">
        <v>34</v>
      </c>
      <c r="I4" s="20" t="s">
        <v>35</v>
      </c>
      <c r="J4" s="20" t="s">
        <v>36</v>
      </c>
      <c r="K4" s="20" t="s">
        <v>37</v>
      </c>
      <c r="L4" s="20" t="s">
        <v>38</v>
      </c>
      <c r="M4" s="20" t="s">
        <v>39</v>
      </c>
      <c r="N4" s="20" t="s">
        <v>13</v>
      </c>
      <c r="O4" s="20" t="s">
        <v>40</v>
      </c>
      <c r="P4" s="20" t="s">
        <v>41</v>
      </c>
      <c r="Q4" s="20" t="s">
        <v>42</v>
      </c>
      <c r="R4" s="20" t="s">
        <v>43</v>
      </c>
      <c r="S4" s="20" t="s">
        <v>16</v>
      </c>
      <c r="T4" s="20" t="s">
        <v>44</v>
      </c>
      <c r="U4" s="21" t="s">
        <v>45</v>
      </c>
    </row>
    <row r="5" spans="1:21">
      <c r="A5" s="22" t="s">
        <v>46</v>
      </c>
      <c r="B5" s="23">
        <v>46027</v>
      </c>
      <c r="C5" s="22" t="s">
        <v>47</v>
      </c>
      <c r="D5" s="22" t="s">
        <v>48</v>
      </c>
      <c r="E5" s="22" t="s">
        <v>49</v>
      </c>
      <c r="F5" s="22" t="s">
        <v>50</v>
      </c>
      <c r="G5" s="24">
        <v>290</v>
      </c>
      <c r="H5" s="25">
        <v>95000</v>
      </c>
      <c r="I5" s="25">
        <v>33000</v>
      </c>
      <c r="J5" s="25">
        <v>9000</v>
      </c>
      <c r="K5" s="25">
        <v>4500</v>
      </c>
      <c r="L5" s="25">
        <v>2500</v>
      </c>
      <c r="M5" s="26">
        <f t="shared" ref="M5:M68" si="0">IF($A5="","",SUM($I5:$L5))</f>
        <v>49000</v>
      </c>
      <c r="N5" s="26">
        <f t="shared" ref="N5:N68" si="1">IF($A5="","",$H5-$M5)</f>
        <v>46000</v>
      </c>
      <c r="O5" s="26">
        <v>95000</v>
      </c>
      <c r="P5" s="26">
        <f t="shared" ref="P5:P68" si="2">IF($A5="","",MAX(0,$H5-$O5))</f>
        <v>0</v>
      </c>
      <c r="Q5" s="22" t="s">
        <v>51</v>
      </c>
      <c r="R5" s="27" t="str">
        <f t="shared" ref="R5:R68" si="3">IF($A5="","",IF($H5=0,"No Revenue",IF($O5&gt;=$H5,"Paid",IF($O5&gt;0,"Partial","Unpaid"))))</f>
        <v>Paid</v>
      </c>
      <c r="S5" s="22" t="s">
        <v>52</v>
      </c>
      <c r="T5" s="22" t="s">
        <v>53</v>
      </c>
      <c r="U5" s="28" t="s">
        <v>54</v>
      </c>
    </row>
    <row r="6" spans="1:21">
      <c r="A6" s="22" t="s">
        <v>55</v>
      </c>
      <c r="B6" s="23">
        <v>46036</v>
      </c>
      <c r="C6" s="22" t="s">
        <v>56</v>
      </c>
      <c r="D6" s="22" t="s">
        <v>57</v>
      </c>
      <c r="E6" s="22" t="s">
        <v>58</v>
      </c>
      <c r="F6" s="22" t="s">
        <v>49</v>
      </c>
      <c r="G6" s="24">
        <v>250</v>
      </c>
      <c r="H6" s="25">
        <v>82000</v>
      </c>
      <c r="I6" s="25">
        <v>30000</v>
      </c>
      <c r="J6" s="25">
        <v>8000</v>
      </c>
      <c r="K6" s="25">
        <v>3500</v>
      </c>
      <c r="L6" s="25">
        <v>1500</v>
      </c>
      <c r="M6" s="26">
        <f t="shared" si="0"/>
        <v>43000</v>
      </c>
      <c r="N6" s="26">
        <f t="shared" si="1"/>
        <v>39000</v>
      </c>
      <c r="O6" s="26">
        <v>60000</v>
      </c>
      <c r="P6" s="26">
        <f t="shared" si="2"/>
        <v>22000</v>
      </c>
      <c r="Q6" s="22" t="s">
        <v>51</v>
      </c>
      <c r="R6" s="27" t="str">
        <f t="shared" si="3"/>
        <v>Partial</v>
      </c>
      <c r="S6" s="22" t="s">
        <v>59</v>
      </c>
      <c r="T6" s="22" t="s">
        <v>60</v>
      </c>
      <c r="U6" s="28" t="s">
        <v>61</v>
      </c>
    </row>
    <row r="7" spans="1:21">
      <c r="A7" s="22" t="s">
        <v>62</v>
      </c>
      <c r="B7" s="23">
        <v>46045</v>
      </c>
      <c r="C7" s="22" t="s">
        <v>63</v>
      </c>
      <c r="D7" s="22" t="s">
        <v>64</v>
      </c>
      <c r="E7" s="22" t="s">
        <v>65</v>
      </c>
      <c r="F7" s="22" t="s">
        <v>58</v>
      </c>
      <c r="G7" s="24">
        <v>35</v>
      </c>
      <c r="H7" s="25">
        <v>28000</v>
      </c>
      <c r="I7" s="25">
        <v>5000</v>
      </c>
      <c r="J7" s="25">
        <v>9000</v>
      </c>
      <c r="K7" s="25">
        <v>500</v>
      </c>
      <c r="L7" s="25">
        <v>1000</v>
      </c>
      <c r="M7" s="26">
        <f t="shared" si="0"/>
        <v>15500</v>
      </c>
      <c r="N7" s="26">
        <f t="shared" si="1"/>
        <v>12500</v>
      </c>
      <c r="O7" s="26">
        <v>28000</v>
      </c>
      <c r="P7" s="26">
        <f t="shared" si="2"/>
        <v>0</v>
      </c>
      <c r="Q7" s="22" t="s">
        <v>51</v>
      </c>
      <c r="R7" s="27" t="str">
        <f t="shared" si="3"/>
        <v>Paid</v>
      </c>
      <c r="S7" s="22" t="s">
        <v>66</v>
      </c>
      <c r="T7" s="22" t="s">
        <v>67</v>
      </c>
      <c r="U7" s="28" t="s">
        <v>68</v>
      </c>
    </row>
    <row r="8" spans="1:21">
      <c r="A8" s="22" t="s">
        <v>69</v>
      </c>
      <c r="B8" s="23">
        <v>46055</v>
      </c>
      <c r="C8" s="22" t="s">
        <v>47</v>
      </c>
      <c r="D8" s="22" t="s">
        <v>70</v>
      </c>
      <c r="E8" s="22" t="s">
        <v>49</v>
      </c>
      <c r="F8" s="22" t="s">
        <v>71</v>
      </c>
      <c r="G8" s="24">
        <v>420</v>
      </c>
      <c r="H8" s="25">
        <v>125000</v>
      </c>
      <c r="I8" s="25">
        <v>47000</v>
      </c>
      <c r="J8" s="25">
        <v>12000</v>
      </c>
      <c r="K8" s="25">
        <v>6500</v>
      </c>
      <c r="L8" s="25">
        <v>2500</v>
      </c>
      <c r="M8" s="26">
        <f t="shared" si="0"/>
        <v>68000</v>
      </c>
      <c r="N8" s="26">
        <f t="shared" si="1"/>
        <v>57000</v>
      </c>
      <c r="O8" s="26">
        <v>125000</v>
      </c>
      <c r="P8" s="26">
        <f t="shared" si="2"/>
        <v>0</v>
      </c>
      <c r="Q8" s="22" t="s">
        <v>51</v>
      </c>
      <c r="R8" s="27" t="str">
        <f t="shared" si="3"/>
        <v>Paid</v>
      </c>
      <c r="S8" s="22" t="s">
        <v>72</v>
      </c>
      <c r="T8" s="22" t="s">
        <v>53</v>
      </c>
      <c r="U8" s="28" t="s">
        <v>73</v>
      </c>
    </row>
    <row r="9" spans="1:21">
      <c r="A9" s="22" t="s">
        <v>74</v>
      </c>
      <c r="B9" s="23">
        <v>46064</v>
      </c>
      <c r="C9" s="22" t="s">
        <v>56</v>
      </c>
      <c r="D9" s="22" t="s">
        <v>75</v>
      </c>
      <c r="E9" s="22" t="s">
        <v>76</v>
      </c>
      <c r="F9" s="22" t="s">
        <v>49</v>
      </c>
      <c r="G9" s="24">
        <v>240</v>
      </c>
      <c r="H9" s="25">
        <v>78000</v>
      </c>
      <c r="I9" s="25">
        <v>29000</v>
      </c>
      <c r="J9" s="25">
        <v>8500</v>
      </c>
      <c r="K9" s="25">
        <v>3000</v>
      </c>
      <c r="L9" s="25">
        <v>1800</v>
      </c>
      <c r="M9" s="26">
        <f t="shared" si="0"/>
        <v>42300</v>
      </c>
      <c r="N9" s="26">
        <f t="shared" si="1"/>
        <v>35700</v>
      </c>
      <c r="O9" s="26">
        <v>78000</v>
      </c>
      <c r="P9" s="26">
        <f t="shared" si="2"/>
        <v>0</v>
      </c>
      <c r="Q9" s="22" t="s">
        <v>51</v>
      </c>
      <c r="R9" s="27" t="str">
        <f t="shared" si="3"/>
        <v>Paid</v>
      </c>
      <c r="S9" s="22" t="s">
        <v>77</v>
      </c>
      <c r="T9" s="22" t="s">
        <v>60</v>
      </c>
      <c r="U9" s="28" t="s">
        <v>78</v>
      </c>
    </row>
    <row r="10" spans="1:21">
      <c r="A10" s="22" t="s">
        <v>79</v>
      </c>
      <c r="B10" s="23">
        <v>46073</v>
      </c>
      <c r="C10" s="22" t="s">
        <v>63</v>
      </c>
      <c r="D10" s="22" t="s">
        <v>64</v>
      </c>
      <c r="E10" s="22" t="s">
        <v>58</v>
      </c>
      <c r="F10" s="22" t="s">
        <v>65</v>
      </c>
      <c r="G10" s="24">
        <v>28</v>
      </c>
      <c r="H10" s="25">
        <v>26000</v>
      </c>
      <c r="I10" s="25">
        <v>4500</v>
      </c>
      <c r="J10" s="25">
        <v>9000</v>
      </c>
      <c r="K10" s="25">
        <v>400</v>
      </c>
      <c r="L10" s="25">
        <v>1200</v>
      </c>
      <c r="M10" s="26">
        <f t="shared" si="0"/>
        <v>15100</v>
      </c>
      <c r="N10" s="26">
        <f t="shared" si="1"/>
        <v>10900</v>
      </c>
      <c r="O10" s="26">
        <v>20000</v>
      </c>
      <c r="P10" s="26">
        <f t="shared" si="2"/>
        <v>6000</v>
      </c>
      <c r="Q10" s="22" t="s">
        <v>51</v>
      </c>
      <c r="R10" s="27" t="str">
        <f t="shared" si="3"/>
        <v>Partial</v>
      </c>
      <c r="S10" s="22" t="s">
        <v>66</v>
      </c>
      <c r="T10" s="22" t="s">
        <v>67</v>
      </c>
      <c r="U10" s="28" t="s">
        <v>80</v>
      </c>
    </row>
    <row r="11" spans="1:21">
      <c r="A11" s="22" t="s">
        <v>81</v>
      </c>
      <c r="B11" s="23">
        <v>46080</v>
      </c>
      <c r="C11" s="22" t="s">
        <v>56</v>
      </c>
      <c r="D11" s="22" t="s">
        <v>82</v>
      </c>
      <c r="E11" s="22" t="s">
        <v>71</v>
      </c>
      <c r="F11" s="22" t="s">
        <v>58</v>
      </c>
      <c r="G11" s="24">
        <v>375</v>
      </c>
      <c r="H11" s="25">
        <v>115000</v>
      </c>
      <c r="I11" s="25">
        <v>41000</v>
      </c>
      <c r="J11" s="25">
        <v>11500</v>
      </c>
      <c r="K11" s="25">
        <v>5500</v>
      </c>
      <c r="L11" s="25">
        <v>2200</v>
      </c>
      <c r="M11" s="26">
        <f t="shared" si="0"/>
        <v>60200</v>
      </c>
      <c r="N11" s="26">
        <f t="shared" si="1"/>
        <v>54800</v>
      </c>
      <c r="O11" s="26">
        <v>115000</v>
      </c>
      <c r="P11" s="26">
        <f t="shared" si="2"/>
        <v>0</v>
      </c>
      <c r="Q11" s="22" t="s">
        <v>51</v>
      </c>
      <c r="R11" s="27" t="str">
        <f t="shared" si="3"/>
        <v>Paid</v>
      </c>
      <c r="S11" s="22" t="s">
        <v>72</v>
      </c>
      <c r="T11" s="22" t="s">
        <v>60</v>
      </c>
      <c r="U11" s="28" t="s">
        <v>83</v>
      </c>
    </row>
    <row r="12" spans="1:21">
      <c r="A12" s="22" t="s">
        <v>84</v>
      </c>
      <c r="B12" s="23">
        <v>46085</v>
      </c>
      <c r="C12" s="22" t="s">
        <v>47</v>
      </c>
      <c r="D12" s="22" t="s">
        <v>85</v>
      </c>
      <c r="E12" s="22" t="s">
        <v>49</v>
      </c>
      <c r="F12" s="22" t="s">
        <v>86</v>
      </c>
      <c r="G12" s="24">
        <v>370</v>
      </c>
      <c r="H12" s="25">
        <v>112000</v>
      </c>
      <c r="I12" s="25">
        <v>40000</v>
      </c>
      <c r="J12" s="25">
        <v>11000</v>
      </c>
      <c r="K12" s="25">
        <v>5000</v>
      </c>
      <c r="L12" s="25">
        <v>2000</v>
      </c>
      <c r="M12" s="26">
        <f t="shared" si="0"/>
        <v>58000</v>
      </c>
      <c r="N12" s="26">
        <f t="shared" si="1"/>
        <v>54000</v>
      </c>
      <c r="O12" s="26">
        <v>112000</v>
      </c>
      <c r="P12" s="26">
        <f t="shared" si="2"/>
        <v>0</v>
      </c>
      <c r="Q12" s="22" t="s">
        <v>51</v>
      </c>
      <c r="R12" s="27" t="str">
        <f t="shared" si="3"/>
        <v>Paid</v>
      </c>
      <c r="S12" s="22" t="s">
        <v>52</v>
      </c>
      <c r="T12" s="22" t="s">
        <v>53</v>
      </c>
      <c r="U12" s="28" t="s">
        <v>87</v>
      </c>
    </row>
    <row r="13" spans="1:21">
      <c r="A13" s="22" t="s">
        <v>88</v>
      </c>
      <c r="B13" s="23">
        <v>46093</v>
      </c>
      <c r="C13" s="22" t="s">
        <v>56</v>
      </c>
      <c r="D13" s="22" t="s">
        <v>89</v>
      </c>
      <c r="E13" s="22" t="s">
        <v>65</v>
      </c>
      <c r="F13" s="22" t="s">
        <v>49</v>
      </c>
      <c r="G13" s="24">
        <v>240</v>
      </c>
      <c r="H13" s="25">
        <v>79000</v>
      </c>
      <c r="I13" s="25">
        <v>29000</v>
      </c>
      <c r="J13" s="25">
        <v>8500</v>
      </c>
      <c r="K13" s="25">
        <v>3500</v>
      </c>
      <c r="L13" s="25">
        <v>1500</v>
      </c>
      <c r="M13" s="26">
        <f t="shared" si="0"/>
        <v>42500</v>
      </c>
      <c r="N13" s="26">
        <f t="shared" si="1"/>
        <v>36500</v>
      </c>
      <c r="O13" s="26">
        <v>79000</v>
      </c>
      <c r="P13" s="26">
        <f t="shared" si="2"/>
        <v>0</v>
      </c>
      <c r="Q13" s="22" t="s">
        <v>51</v>
      </c>
      <c r="R13" s="27" t="str">
        <f t="shared" si="3"/>
        <v>Paid</v>
      </c>
      <c r="S13" s="22" t="s">
        <v>59</v>
      </c>
      <c r="T13" s="22" t="s">
        <v>60</v>
      </c>
      <c r="U13" s="28" t="s">
        <v>90</v>
      </c>
    </row>
    <row r="14" spans="1:21">
      <c r="A14" s="22" t="s">
        <v>91</v>
      </c>
      <c r="B14" s="23">
        <v>46101</v>
      </c>
      <c r="C14" s="22" t="s">
        <v>63</v>
      </c>
      <c r="D14" s="22" t="s">
        <v>64</v>
      </c>
      <c r="E14" s="22" t="s">
        <v>58</v>
      </c>
      <c r="F14" s="22" t="s">
        <v>71</v>
      </c>
      <c r="G14" s="24">
        <v>375</v>
      </c>
      <c r="H14" s="25">
        <v>88000</v>
      </c>
      <c r="I14" s="25">
        <v>38000</v>
      </c>
      <c r="J14" s="25">
        <v>15000</v>
      </c>
      <c r="K14" s="25">
        <v>5000</v>
      </c>
      <c r="L14" s="25">
        <v>2000</v>
      </c>
      <c r="M14" s="26">
        <f t="shared" si="0"/>
        <v>60000</v>
      </c>
      <c r="N14" s="26">
        <f t="shared" si="1"/>
        <v>28000</v>
      </c>
      <c r="O14" s="26">
        <v>70000</v>
      </c>
      <c r="P14" s="26">
        <f t="shared" si="2"/>
        <v>18000</v>
      </c>
      <c r="Q14" s="22" t="s">
        <v>51</v>
      </c>
      <c r="R14" s="27" t="str">
        <f t="shared" si="3"/>
        <v>Partial</v>
      </c>
      <c r="S14" s="22" t="s">
        <v>66</v>
      </c>
      <c r="T14" s="22" t="s">
        <v>67</v>
      </c>
      <c r="U14" s="28" t="s">
        <v>92</v>
      </c>
    </row>
    <row r="15" spans="1:21">
      <c r="A15" s="22" t="s">
        <v>93</v>
      </c>
      <c r="B15" s="23">
        <v>46109</v>
      </c>
      <c r="C15" s="22" t="s">
        <v>47</v>
      </c>
      <c r="D15" s="22" t="s">
        <v>70</v>
      </c>
      <c r="E15" s="22" t="s">
        <v>49</v>
      </c>
      <c r="F15" s="22" t="s">
        <v>50</v>
      </c>
      <c r="G15" s="24">
        <v>290</v>
      </c>
      <c r="H15" s="25">
        <v>97000</v>
      </c>
      <c r="I15" s="25">
        <v>33000</v>
      </c>
      <c r="J15" s="25">
        <v>9000</v>
      </c>
      <c r="K15" s="25">
        <v>4500</v>
      </c>
      <c r="L15" s="25">
        <v>1800</v>
      </c>
      <c r="M15" s="26">
        <f t="shared" si="0"/>
        <v>48300</v>
      </c>
      <c r="N15" s="26">
        <f t="shared" si="1"/>
        <v>48700</v>
      </c>
      <c r="O15" s="26">
        <v>97000</v>
      </c>
      <c r="P15" s="26">
        <f t="shared" si="2"/>
        <v>0</v>
      </c>
      <c r="Q15" s="22" t="s">
        <v>51</v>
      </c>
      <c r="R15" s="27" t="str">
        <f t="shared" si="3"/>
        <v>Paid</v>
      </c>
      <c r="S15" s="22" t="s">
        <v>72</v>
      </c>
      <c r="T15" s="22" t="s">
        <v>53</v>
      </c>
      <c r="U15" s="28" t="s">
        <v>94</v>
      </c>
    </row>
    <row r="16" spans="1:21">
      <c r="A16" s="22" t="s">
        <v>95</v>
      </c>
      <c r="B16" s="23">
        <v>46118</v>
      </c>
      <c r="C16" s="22" t="s">
        <v>56</v>
      </c>
      <c r="D16" s="22" t="s">
        <v>96</v>
      </c>
      <c r="E16" s="22" t="s">
        <v>50</v>
      </c>
      <c r="F16" s="22" t="s">
        <v>58</v>
      </c>
      <c r="G16" s="24">
        <v>320</v>
      </c>
      <c r="H16" s="25">
        <v>101000</v>
      </c>
      <c r="I16" s="25">
        <v>36000</v>
      </c>
      <c r="J16" s="25">
        <v>10000</v>
      </c>
      <c r="K16" s="25">
        <v>4500</v>
      </c>
      <c r="L16" s="25">
        <v>2000</v>
      </c>
      <c r="M16" s="26">
        <f t="shared" si="0"/>
        <v>52500</v>
      </c>
      <c r="N16" s="26">
        <f t="shared" si="1"/>
        <v>48500</v>
      </c>
      <c r="O16" s="26">
        <v>101000</v>
      </c>
      <c r="P16" s="26">
        <f t="shared" si="2"/>
        <v>0</v>
      </c>
      <c r="Q16" s="22" t="s">
        <v>51</v>
      </c>
      <c r="R16" s="27" t="str">
        <f t="shared" si="3"/>
        <v>Paid</v>
      </c>
      <c r="S16" s="22" t="s">
        <v>77</v>
      </c>
      <c r="T16" s="22" t="s">
        <v>60</v>
      </c>
      <c r="U16" s="28" t="s">
        <v>97</v>
      </c>
    </row>
    <row r="17" spans="1:21">
      <c r="A17" s="22" t="s">
        <v>98</v>
      </c>
      <c r="B17" s="23">
        <v>46126</v>
      </c>
      <c r="C17" s="22" t="s">
        <v>63</v>
      </c>
      <c r="D17" s="22" t="s">
        <v>64</v>
      </c>
      <c r="E17" s="22" t="s">
        <v>65</v>
      </c>
      <c r="F17" s="22" t="s">
        <v>49</v>
      </c>
      <c r="G17" s="24">
        <v>250</v>
      </c>
      <c r="H17" s="25">
        <v>64000</v>
      </c>
      <c r="I17" s="25">
        <v>28000</v>
      </c>
      <c r="J17" s="25">
        <v>13000</v>
      </c>
      <c r="K17" s="25">
        <v>3500</v>
      </c>
      <c r="L17" s="25">
        <v>1500</v>
      </c>
      <c r="M17" s="26">
        <f t="shared" si="0"/>
        <v>46000</v>
      </c>
      <c r="N17" s="26">
        <f t="shared" si="1"/>
        <v>18000</v>
      </c>
      <c r="O17" s="26">
        <v>64000</v>
      </c>
      <c r="P17" s="26">
        <f t="shared" si="2"/>
        <v>0</v>
      </c>
      <c r="Q17" s="22" t="s">
        <v>51</v>
      </c>
      <c r="R17" s="27" t="str">
        <f t="shared" si="3"/>
        <v>Paid</v>
      </c>
      <c r="S17" s="22" t="s">
        <v>52</v>
      </c>
      <c r="T17" s="22" t="s">
        <v>67</v>
      </c>
      <c r="U17" s="28" t="s">
        <v>99</v>
      </c>
    </row>
    <row r="18" spans="1:21">
      <c r="A18" s="22" t="s">
        <v>100</v>
      </c>
      <c r="B18" s="23">
        <v>46135</v>
      </c>
      <c r="C18" s="22" t="s">
        <v>47</v>
      </c>
      <c r="D18" s="22" t="s">
        <v>48</v>
      </c>
      <c r="E18" s="22" t="s">
        <v>49</v>
      </c>
      <c r="F18" s="22" t="s">
        <v>86</v>
      </c>
      <c r="G18" s="24">
        <v>370</v>
      </c>
      <c r="H18" s="25">
        <v>114000</v>
      </c>
      <c r="I18" s="25">
        <v>41000</v>
      </c>
      <c r="J18" s="25">
        <v>11000</v>
      </c>
      <c r="K18" s="25">
        <v>5000</v>
      </c>
      <c r="L18" s="25">
        <v>2500</v>
      </c>
      <c r="M18" s="26">
        <f t="shared" si="0"/>
        <v>59500</v>
      </c>
      <c r="N18" s="26">
        <f t="shared" si="1"/>
        <v>54500</v>
      </c>
      <c r="O18" s="26">
        <v>90000</v>
      </c>
      <c r="P18" s="26">
        <f t="shared" si="2"/>
        <v>24000</v>
      </c>
      <c r="Q18" s="22" t="s">
        <v>51</v>
      </c>
      <c r="R18" s="27" t="str">
        <f t="shared" si="3"/>
        <v>Partial</v>
      </c>
      <c r="S18" s="22" t="s">
        <v>59</v>
      </c>
      <c r="T18" s="22" t="s">
        <v>53</v>
      </c>
      <c r="U18" s="28" t="s">
        <v>61</v>
      </c>
    </row>
    <row r="19" spans="1:21">
      <c r="A19" s="22" t="s">
        <v>101</v>
      </c>
      <c r="B19" s="23">
        <v>46142</v>
      </c>
      <c r="C19" s="22" t="s">
        <v>56</v>
      </c>
      <c r="D19" s="22" t="s">
        <v>82</v>
      </c>
      <c r="E19" s="22" t="s">
        <v>58</v>
      </c>
      <c r="F19" s="22" t="s">
        <v>71</v>
      </c>
      <c r="G19" s="24">
        <v>375</v>
      </c>
      <c r="H19" s="25">
        <v>118000</v>
      </c>
      <c r="I19" s="25">
        <v>42000</v>
      </c>
      <c r="J19" s="25">
        <v>11500</v>
      </c>
      <c r="K19" s="25">
        <v>5500</v>
      </c>
      <c r="L19" s="25">
        <v>2000</v>
      </c>
      <c r="M19" s="26">
        <f t="shared" si="0"/>
        <v>61000</v>
      </c>
      <c r="N19" s="26">
        <f t="shared" si="1"/>
        <v>57000</v>
      </c>
      <c r="O19" s="26">
        <v>118000</v>
      </c>
      <c r="P19" s="26">
        <f t="shared" si="2"/>
        <v>0</v>
      </c>
      <c r="Q19" s="22" t="s">
        <v>51</v>
      </c>
      <c r="R19" s="27" t="str">
        <f t="shared" si="3"/>
        <v>Paid</v>
      </c>
      <c r="S19" s="22" t="s">
        <v>72</v>
      </c>
      <c r="T19" s="22" t="s">
        <v>60</v>
      </c>
      <c r="U19" s="28" t="s">
        <v>83</v>
      </c>
    </row>
    <row r="20" spans="1:21">
      <c r="A20" s="22" t="s">
        <v>102</v>
      </c>
      <c r="B20" s="23">
        <v>46150</v>
      </c>
      <c r="C20" s="22" t="s">
        <v>56</v>
      </c>
      <c r="D20" s="22" t="s">
        <v>57</v>
      </c>
      <c r="E20" s="22" t="s">
        <v>71</v>
      </c>
      <c r="F20" s="22" t="s">
        <v>49</v>
      </c>
      <c r="G20" s="24">
        <v>420</v>
      </c>
      <c r="H20" s="25">
        <v>129000</v>
      </c>
      <c r="I20" s="25">
        <v>48000</v>
      </c>
      <c r="J20" s="25">
        <v>12000</v>
      </c>
      <c r="K20" s="25">
        <v>6500</v>
      </c>
      <c r="L20" s="25">
        <v>2200</v>
      </c>
      <c r="M20" s="26">
        <f t="shared" si="0"/>
        <v>68700</v>
      </c>
      <c r="N20" s="26">
        <f t="shared" si="1"/>
        <v>60300</v>
      </c>
      <c r="O20" s="26">
        <v>129000</v>
      </c>
      <c r="P20" s="26">
        <f t="shared" si="2"/>
        <v>0</v>
      </c>
      <c r="Q20" s="22" t="s">
        <v>51</v>
      </c>
      <c r="R20" s="27" t="str">
        <f t="shared" si="3"/>
        <v>Paid</v>
      </c>
      <c r="S20" s="22" t="s">
        <v>77</v>
      </c>
      <c r="T20" s="22" t="s">
        <v>60</v>
      </c>
      <c r="U20" s="28" t="s">
        <v>103</v>
      </c>
    </row>
    <row r="21" spans="1:21">
      <c r="A21" s="22" t="s">
        <v>104</v>
      </c>
      <c r="B21" s="23">
        <v>46158</v>
      </c>
      <c r="C21" s="22" t="s">
        <v>63</v>
      </c>
      <c r="D21" s="22" t="s">
        <v>64</v>
      </c>
      <c r="E21" s="22" t="s">
        <v>58</v>
      </c>
      <c r="F21" s="22" t="s">
        <v>65</v>
      </c>
      <c r="G21" s="24">
        <v>30</v>
      </c>
      <c r="H21" s="25">
        <v>27000</v>
      </c>
      <c r="I21" s="25">
        <v>4500</v>
      </c>
      <c r="J21" s="25">
        <v>9500</v>
      </c>
      <c r="K21" s="25">
        <v>500</v>
      </c>
      <c r="L21" s="25">
        <v>1000</v>
      </c>
      <c r="M21" s="26">
        <f t="shared" si="0"/>
        <v>15500</v>
      </c>
      <c r="N21" s="26">
        <f t="shared" si="1"/>
        <v>11500</v>
      </c>
      <c r="O21" s="26">
        <v>27000</v>
      </c>
      <c r="P21" s="26">
        <f t="shared" si="2"/>
        <v>0</v>
      </c>
      <c r="Q21" s="22" t="s">
        <v>51</v>
      </c>
      <c r="R21" s="27" t="str">
        <f t="shared" si="3"/>
        <v>Paid</v>
      </c>
      <c r="S21" s="22" t="s">
        <v>66</v>
      </c>
      <c r="T21" s="22" t="s">
        <v>67</v>
      </c>
      <c r="U21" s="28" t="s">
        <v>68</v>
      </c>
    </row>
    <row r="22" spans="1:21">
      <c r="A22" s="22" t="s">
        <v>105</v>
      </c>
      <c r="B22" s="23">
        <v>46166</v>
      </c>
      <c r="C22" s="22" t="s">
        <v>47</v>
      </c>
      <c r="D22" s="22" t="s">
        <v>85</v>
      </c>
      <c r="E22" s="22" t="s">
        <v>49</v>
      </c>
      <c r="F22" s="22" t="s">
        <v>50</v>
      </c>
      <c r="G22" s="24">
        <v>290</v>
      </c>
      <c r="H22" s="25">
        <v>99000</v>
      </c>
      <c r="I22" s="25">
        <v>34000</v>
      </c>
      <c r="J22" s="25">
        <v>9000</v>
      </c>
      <c r="K22" s="25">
        <v>4500</v>
      </c>
      <c r="L22" s="25">
        <v>1900</v>
      </c>
      <c r="M22" s="26">
        <f t="shared" si="0"/>
        <v>49400</v>
      </c>
      <c r="N22" s="26">
        <f t="shared" si="1"/>
        <v>49600</v>
      </c>
      <c r="O22" s="26">
        <v>99000</v>
      </c>
      <c r="P22" s="26">
        <f t="shared" si="2"/>
        <v>0</v>
      </c>
      <c r="Q22" s="22" t="s">
        <v>51</v>
      </c>
      <c r="R22" s="27" t="str">
        <f t="shared" si="3"/>
        <v>Paid</v>
      </c>
      <c r="S22" s="22" t="s">
        <v>52</v>
      </c>
      <c r="T22" s="22" t="s">
        <v>53</v>
      </c>
      <c r="U22" s="28" t="s">
        <v>87</v>
      </c>
    </row>
    <row r="23" spans="1:21">
      <c r="A23" s="22" t="s">
        <v>106</v>
      </c>
      <c r="B23" s="23">
        <v>46175</v>
      </c>
      <c r="C23" s="22" t="s">
        <v>56</v>
      </c>
      <c r="D23" s="22" t="s">
        <v>75</v>
      </c>
      <c r="E23" s="22" t="s">
        <v>49</v>
      </c>
      <c r="F23" s="22" t="s">
        <v>58</v>
      </c>
      <c r="G23" s="24">
        <v>250</v>
      </c>
      <c r="H23" s="25">
        <v>84000</v>
      </c>
      <c r="I23" s="25">
        <v>30000</v>
      </c>
      <c r="J23" s="25">
        <v>8500</v>
      </c>
      <c r="K23" s="25">
        <v>3500</v>
      </c>
      <c r="L23" s="25">
        <v>1500</v>
      </c>
      <c r="M23" s="26">
        <f t="shared" si="0"/>
        <v>43500</v>
      </c>
      <c r="N23" s="26">
        <f t="shared" si="1"/>
        <v>40500</v>
      </c>
      <c r="O23" s="26">
        <v>84000</v>
      </c>
      <c r="P23" s="26">
        <f t="shared" si="2"/>
        <v>0</v>
      </c>
      <c r="Q23" s="22" t="s">
        <v>51</v>
      </c>
      <c r="R23" s="27" t="str">
        <f t="shared" si="3"/>
        <v>Paid</v>
      </c>
      <c r="S23" s="22" t="s">
        <v>72</v>
      </c>
      <c r="T23" s="22" t="s">
        <v>60</v>
      </c>
      <c r="U23" s="28" t="s">
        <v>78</v>
      </c>
    </row>
    <row r="24" spans="1:21">
      <c r="A24" s="22" t="s">
        <v>107</v>
      </c>
      <c r="B24" s="23">
        <v>46183</v>
      </c>
      <c r="C24" s="22" t="s">
        <v>63</v>
      </c>
      <c r="D24" s="22" t="s">
        <v>64</v>
      </c>
      <c r="E24" s="22" t="s">
        <v>65</v>
      </c>
      <c r="F24" s="22" t="s">
        <v>71</v>
      </c>
      <c r="G24" s="24">
        <v>380</v>
      </c>
      <c r="H24" s="25">
        <v>90000</v>
      </c>
      <c r="I24" s="25">
        <v>39000</v>
      </c>
      <c r="J24" s="25">
        <v>15500</v>
      </c>
      <c r="K24" s="25">
        <v>5500</v>
      </c>
      <c r="L24" s="25">
        <v>2100</v>
      </c>
      <c r="M24" s="26">
        <f t="shared" si="0"/>
        <v>62100</v>
      </c>
      <c r="N24" s="26">
        <f t="shared" si="1"/>
        <v>27900</v>
      </c>
      <c r="O24" s="26">
        <v>70000</v>
      </c>
      <c r="P24" s="26">
        <f t="shared" si="2"/>
        <v>20000</v>
      </c>
      <c r="Q24" s="22" t="s">
        <v>51</v>
      </c>
      <c r="R24" s="27" t="str">
        <f t="shared" si="3"/>
        <v>Partial</v>
      </c>
      <c r="S24" s="22" t="s">
        <v>66</v>
      </c>
      <c r="T24" s="22" t="s">
        <v>67</v>
      </c>
      <c r="U24" s="28" t="s">
        <v>92</v>
      </c>
    </row>
    <row r="25" spans="1:21">
      <c r="A25" s="22" t="s">
        <v>108</v>
      </c>
      <c r="B25" s="23">
        <v>46191</v>
      </c>
      <c r="C25" s="22" t="s">
        <v>47</v>
      </c>
      <c r="D25" s="22" t="s">
        <v>70</v>
      </c>
      <c r="E25" s="22" t="s">
        <v>49</v>
      </c>
      <c r="F25" s="22" t="s">
        <v>71</v>
      </c>
      <c r="G25" s="24">
        <v>420</v>
      </c>
      <c r="H25" s="25">
        <v>128000</v>
      </c>
      <c r="I25" s="25">
        <v>47000</v>
      </c>
      <c r="J25" s="25">
        <v>12000</v>
      </c>
      <c r="K25" s="25">
        <v>6500</v>
      </c>
      <c r="L25" s="25">
        <v>2500</v>
      </c>
      <c r="M25" s="26">
        <f t="shared" si="0"/>
        <v>68000</v>
      </c>
      <c r="N25" s="26">
        <f t="shared" si="1"/>
        <v>60000</v>
      </c>
      <c r="O25" s="26">
        <v>128000</v>
      </c>
      <c r="P25" s="26">
        <f t="shared" si="2"/>
        <v>0</v>
      </c>
      <c r="Q25" s="22" t="s">
        <v>51</v>
      </c>
      <c r="R25" s="27" t="str">
        <f t="shared" si="3"/>
        <v>Paid</v>
      </c>
      <c r="S25" s="22" t="s">
        <v>59</v>
      </c>
      <c r="T25" s="22" t="s">
        <v>53</v>
      </c>
      <c r="U25" s="28" t="s">
        <v>73</v>
      </c>
    </row>
    <row r="26" spans="1:21">
      <c r="A26" s="22" t="s">
        <v>109</v>
      </c>
      <c r="B26" s="23">
        <v>46200</v>
      </c>
      <c r="C26" s="22" t="s">
        <v>56</v>
      </c>
      <c r="D26" s="22" t="s">
        <v>89</v>
      </c>
      <c r="E26" s="22" t="s">
        <v>50</v>
      </c>
      <c r="F26" s="22" t="s">
        <v>49</v>
      </c>
      <c r="G26" s="24">
        <v>290</v>
      </c>
      <c r="H26" s="25">
        <v>94000</v>
      </c>
      <c r="I26" s="25">
        <v>33000</v>
      </c>
      <c r="J26" s="25">
        <v>9000</v>
      </c>
      <c r="K26" s="25">
        <v>4500</v>
      </c>
      <c r="L26" s="25">
        <v>1800</v>
      </c>
      <c r="M26" s="26">
        <f t="shared" si="0"/>
        <v>48300</v>
      </c>
      <c r="N26" s="26">
        <f t="shared" si="1"/>
        <v>45700</v>
      </c>
      <c r="O26" s="26">
        <v>94000</v>
      </c>
      <c r="P26" s="26">
        <f t="shared" si="2"/>
        <v>0</v>
      </c>
      <c r="Q26" s="22" t="s">
        <v>51</v>
      </c>
      <c r="R26" s="27" t="str">
        <f t="shared" si="3"/>
        <v>Paid</v>
      </c>
      <c r="S26" s="22" t="s">
        <v>77</v>
      </c>
      <c r="T26" s="22" t="s">
        <v>60</v>
      </c>
      <c r="U26" s="28" t="s">
        <v>90</v>
      </c>
    </row>
    <row r="27" spans="1:21">
      <c r="A27" s="22" t="s">
        <v>110</v>
      </c>
      <c r="B27" s="23">
        <v>46207</v>
      </c>
      <c r="C27" s="22" t="s">
        <v>63</v>
      </c>
      <c r="D27" s="22" t="s">
        <v>64</v>
      </c>
      <c r="E27" s="22" t="s">
        <v>58</v>
      </c>
      <c r="F27" s="22" t="s">
        <v>49</v>
      </c>
      <c r="G27" s="24">
        <v>250</v>
      </c>
      <c r="H27" s="25">
        <v>65000</v>
      </c>
      <c r="I27" s="25">
        <v>28000</v>
      </c>
      <c r="J27" s="25">
        <v>13000</v>
      </c>
      <c r="K27" s="25">
        <v>3500</v>
      </c>
      <c r="L27" s="25">
        <v>1400</v>
      </c>
      <c r="M27" s="26">
        <f t="shared" si="0"/>
        <v>45900</v>
      </c>
      <c r="N27" s="26">
        <f t="shared" si="1"/>
        <v>19100</v>
      </c>
      <c r="O27" s="26">
        <v>65000</v>
      </c>
      <c r="P27" s="26">
        <f t="shared" si="2"/>
        <v>0</v>
      </c>
      <c r="Q27" s="22" t="s">
        <v>51</v>
      </c>
      <c r="R27" s="27" t="str">
        <f t="shared" si="3"/>
        <v>Paid</v>
      </c>
      <c r="S27" s="22" t="s">
        <v>52</v>
      </c>
      <c r="T27" s="22" t="s">
        <v>67</v>
      </c>
      <c r="U27" s="28" t="s">
        <v>99</v>
      </c>
    </row>
    <row r="28" spans="1:21">
      <c r="A28" s="22" t="s">
        <v>111</v>
      </c>
      <c r="B28" s="23">
        <v>46213</v>
      </c>
      <c r="C28" s="22" t="s">
        <v>47</v>
      </c>
      <c r="D28" s="22" t="s">
        <v>48</v>
      </c>
      <c r="E28" s="22" t="s">
        <v>49</v>
      </c>
      <c r="F28" s="22" t="s">
        <v>86</v>
      </c>
      <c r="G28" s="24">
        <v>370</v>
      </c>
      <c r="H28" s="25">
        <v>116000</v>
      </c>
      <c r="I28" s="25">
        <v>41000</v>
      </c>
      <c r="J28" s="25">
        <v>11000</v>
      </c>
      <c r="K28" s="25">
        <v>5000</v>
      </c>
      <c r="L28" s="25">
        <v>2300</v>
      </c>
      <c r="M28" s="26">
        <f t="shared" si="0"/>
        <v>59300</v>
      </c>
      <c r="N28" s="26">
        <f t="shared" si="1"/>
        <v>56700</v>
      </c>
      <c r="O28" s="26">
        <v>90000</v>
      </c>
      <c r="P28" s="26">
        <f t="shared" si="2"/>
        <v>26000</v>
      </c>
      <c r="Q28" s="22" t="s">
        <v>51</v>
      </c>
      <c r="R28" s="27" t="str">
        <f t="shared" si="3"/>
        <v>Partial</v>
      </c>
      <c r="S28" s="22" t="s">
        <v>72</v>
      </c>
      <c r="T28" s="22" t="s">
        <v>53</v>
      </c>
      <c r="U28" s="28" t="s">
        <v>61</v>
      </c>
    </row>
    <row r="29" spans="1:21">
      <c r="A29" s="22" t="s">
        <v>112</v>
      </c>
      <c r="B29" s="23">
        <v>46219</v>
      </c>
      <c r="C29" s="22" t="s">
        <v>56</v>
      </c>
      <c r="D29" s="22" t="s">
        <v>82</v>
      </c>
      <c r="E29" s="22" t="s">
        <v>71</v>
      </c>
      <c r="F29" s="22" t="s">
        <v>58</v>
      </c>
      <c r="G29" s="24">
        <v>375</v>
      </c>
      <c r="H29" s="25">
        <v>117000</v>
      </c>
      <c r="I29" s="25">
        <v>42000</v>
      </c>
      <c r="J29" s="25">
        <v>11500</v>
      </c>
      <c r="K29" s="25">
        <v>5500</v>
      </c>
      <c r="L29" s="25">
        <v>2200</v>
      </c>
      <c r="M29" s="26">
        <f t="shared" si="0"/>
        <v>61200</v>
      </c>
      <c r="N29" s="26">
        <f t="shared" si="1"/>
        <v>55800</v>
      </c>
      <c r="O29" s="26">
        <v>117000</v>
      </c>
      <c r="P29" s="26">
        <f t="shared" si="2"/>
        <v>0</v>
      </c>
      <c r="Q29" s="22" t="s">
        <v>51</v>
      </c>
      <c r="R29" s="27" t="str">
        <f t="shared" si="3"/>
        <v>Paid</v>
      </c>
      <c r="S29" s="22" t="s">
        <v>66</v>
      </c>
      <c r="T29" s="22" t="s">
        <v>60</v>
      </c>
      <c r="U29" s="28" t="s">
        <v>83</v>
      </c>
    </row>
    <row r="30" spans="1:21">
      <c r="A30" s="22" t="s">
        <v>113</v>
      </c>
      <c r="B30" s="23">
        <v>46225</v>
      </c>
      <c r="C30" s="22" t="s">
        <v>56</v>
      </c>
      <c r="D30" s="22" t="s">
        <v>96</v>
      </c>
      <c r="E30" s="22" t="s">
        <v>58</v>
      </c>
      <c r="F30" s="22" t="s">
        <v>50</v>
      </c>
      <c r="G30" s="24">
        <v>320</v>
      </c>
      <c r="H30" s="25">
        <v>102000</v>
      </c>
      <c r="I30" s="25">
        <v>36000</v>
      </c>
      <c r="J30" s="25">
        <v>10000</v>
      </c>
      <c r="K30" s="25">
        <v>4500</v>
      </c>
      <c r="L30" s="25">
        <v>1900</v>
      </c>
      <c r="M30" s="26">
        <f t="shared" si="0"/>
        <v>52400</v>
      </c>
      <c r="N30" s="26">
        <f t="shared" si="1"/>
        <v>49600</v>
      </c>
      <c r="O30" s="26">
        <v>0</v>
      </c>
      <c r="P30" s="26">
        <f t="shared" si="2"/>
        <v>102000</v>
      </c>
      <c r="Q30" s="22" t="s">
        <v>51</v>
      </c>
      <c r="R30" s="27" t="str">
        <f t="shared" si="3"/>
        <v>Unpaid</v>
      </c>
      <c r="S30" s="22" t="s">
        <v>59</v>
      </c>
      <c r="T30" s="22" t="s">
        <v>60</v>
      </c>
      <c r="U30" s="28" t="s">
        <v>114</v>
      </c>
    </row>
    <row r="31" spans="1:21">
      <c r="A31" s="22" t="s">
        <v>115</v>
      </c>
      <c r="B31" s="23">
        <v>46230</v>
      </c>
      <c r="C31" s="22" t="s">
        <v>63</v>
      </c>
      <c r="D31" s="22" t="s">
        <v>64</v>
      </c>
      <c r="E31" s="22" t="s">
        <v>49</v>
      </c>
      <c r="F31" s="22" t="s">
        <v>65</v>
      </c>
      <c r="G31" s="24">
        <v>250</v>
      </c>
      <c r="H31" s="25">
        <v>66000</v>
      </c>
      <c r="I31" s="25">
        <v>28000</v>
      </c>
      <c r="J31" s="25">
        <v>13000</v>
      </c>
      <c r="K31" s="25">
        <v>3500</v>
      </c>
      <c r="L31" s="25">
        <v>1500</v>
      </c>
      <c r="M31" s="26">
        <f t="shared" si="0"/>
        <v>46000</v>
      </c>
      <c r="N31" s="26">
        <f t="shared" si="1"/>
        <v>20000</v>
      </c>
      <c r="O31" s="26">
        <v>0</v>
      </c>
      <c r="P31" s="26">
        <f t="shared" si="2"/>
        <v>66000</v>
      </c>
      <c r="Q31" s="22" t="s">
        <v>116</v>
      </c>
      <c r="R31" s="27" t="str">
        <f t="shared" si="3"/>
        <v>Unpaid</v>
      </c>
      <c r="S31" s="22" t="s">
        <v>77</v>
      </c>
      <c r="T31" s="22" t="s">
        <v>67</v>
      </c>
      <c r="U31" s="28" t="s">
        <v>117</v>
      </c>
    </row>
    <row r="32" spans="1:21">
      <c r="A32" s="22" t="s">
        <v>118</v>
      </c>
      <c r="B32" s="23">
        <v>46233</v>
      </c>
      <c r="C32" s="22" t="s">
        <v>47</v>
      </c>
      <c r="D32" s="22" t="s">
        <v>70</v>
      </c>
      <c r="E32" s="22" t="s">
        <v>49</v>
      </c>
      <c r="F32" s="22" t="s">
        <v>71</v>
      </c>
      <c r="G32" s="24">
        <v>420</v>
      </c>
      <c r="H32" s="25">
        <v>130000</v>
      </c>
      <c r="I32" s="25">
        <v>47000</v>
      </c>
      <c r="J32" s="25">
        <v>12000</v>
      </c>
      <c r="K32" s="25">
        <v>6500</v>
      </c>
      <c r="L32" s="25">
        <v>2500</v>
      </c>
      <c r="M32" s="26">
        <f t="shared" si="0"/>
        <v>68000</v>
      </c>
      <c r="N32" s="26">
        <f t="shared" si="1"/>
        <v>62000</v>
      </c>
      <c r="O32" s="26">
        <v>0</v>
      </c>
      <c r="P32" s="26">
        <f t="shared" si="2"/>
        <v>130000</v>
      </c>
      <c r="Q32" s="22" t="s">
        <v>116</v>
      </c>
      <c r="R32" s="27" t="str">
        <f t="shared" si="3"/>
        <v>Unpaid</v>
      </c>
      <c r="S32" s="22" t="s">
        <v>52</v>
      </c>
      <c r="T32" s="22" t="s">
        <v>53</v>
      </c>
      <c r="U32" s="28" t="s">
        <v>117</v>
      </c>
    </row>
    <row r="33" spans="1:21">
      <c r="A33" s="22" t="s">
        <v>119</v>
      </c>
      <c r="B33" s="23">
        <v>46234</v>
      </c>
      <c r="C33" s="22" t="s">
        <v>56</v>
      </c>
      <c r="D33" s="22" t="s">
        <v>75</v>
      </c>
      <c r="E33" s="22" t="s">
        <v>49</v>
      </c>
      <c r="F33" s="22" t="s">
        <v>58</v>
      </c>
      <c r="G33" s="24">
        <v>250</v>
      </c>
      <c r="H33" s="25">
        <v>0</v>
      </c>
      <c r="I33" s="25">
        <v>0</v>
      </c>
      <c r="J33" s="25">
        <v>0</v>
      </c>
      <c r="K33" s="25">
        <v>0</v>
      </c>
      <c r="L33" s="25">
        <v>2000</v>
      </c>
      <c r="M33" s="26">
        <f t="shared" si="0"/>
        <v>2000</v>
      </c>
      <c r="N33" s="26">
        <f t="shared" si="1"/>
        <v>-2000</v>
      </c>
      <c r="O33" s="26">
        <v>0</v>
      </c>
      <c r="P33" s="26">
        <f t="shared" si="2"/>
        <v>0</v>
      </c>
      <c r="Q33" s="22" t="s">
        <v>120</v>
      </c>
      <c r="R33" s="27" t="str">
        <f t="shared" si="3"/>
        <v>No Revenue</v>
      </c>
      <c r="S33" s="22" t="s">
        <v>66</v>
      </c>
      <c r="T33" s="22" t="s">
        <v>60</v>
      </c>
      <c r="U33" s="28" t="s">
        <v>121</v>
      </c>
    </row>
    <row r="34" spans="1:21">
      <c r="A34" s="22"/>
      <c r="B34" s="23"/>
      <c r="C34" s="22"/>
      <c r="D34" s="22"/>
      <c r="E34" s="22"/>
      <c r="F34" s="22"/>
      <c r="G34" s="24"/>
      <c r="H34" s="25"/>
      <c r="I34" s="25"/>
      <c r="J34" s="25"/>
      <c r="K34" s="25"/>
      <c r="L34" s="25"/>
      <c r="M34" s="26" t="str">
        <f t="shared" si="0"/>
        <v/>
      </c>
      <c r="N34" s="26" t="str">
        <f t="shared" si="1"/>
        <v/>
      </c>
      <c r="O34" s="26"/>
      <c r="P34" s="26" t="str">
        <f t="shared" si="2"/>
        <v/>
      </c>
      <c r="Q34" s="22"/>
      <c r="R34" s="27" t="str">
        <f t="shared" si="3"/>
        <v/>
      </c>
      <c r="S34" s="22"/>
      <c r="T34" s="22"/>
      <c r="U34" s="28"/>
    </row>
    <row r="35" spans="1:21">
      <c r="A35" s="22"/>
      <c r="B35" s="23"/>
      <c r="C35" s="22"/>
      <c r="D35" s="22"/>
      <c r="E35" s="22"/>
      <c r="F35" s="22"/>
      <c r="G35" s="24"/>
      <c r="H35" s="25"/>
      <c r="I35" s="25"/>
      <c r="J35" s="25"/>
      <c r="K35" s="25"/>
      <c r="L35" s="25"/>
      <c r="M35" s="26" t="str">
        <f t="shared" si="0"/>
        <v/>
      </c>
      <c r="N35" s="26" t="str">
        <f t="shared" si="1"/>
        <v/>
      </c>
      <c r="O35" s="26"/>
      <c r="P35" s="26" t="str">
        <f t="shared" si="2"/>
        <v/>
      </c>
      <c r="Q35" s="22"/>
      <c r="R35" s="27" t="str">
        <f t="shared" si="3"/>
        <v/>
      </c>
      <c r="S35" s="22"/>
      <c r="T35" s="22"/>
      <c r="U35" s="28"/>
    </row>
    <row r="36" spans="1:21">
      <c r="A36" s="22"/>
      <c r="B36" s="23"/>
      <c r="C36" s="22"/>
      <c r="D36" s="22"/>
      <c r="E36" s="22"/>
      <c r="F36" s="22"/>
      <c r="G36" s="24"/>
      <c r="H36" s="25"/>
      <c r="I36" s="25"/>
      <c r="J36" s="25"/>
      <c r="K36" s="25"/>
      <c r="L36" s="25"/>
      <c r="M36" s="26" t="str">
        <f t="shared" si="0"/>
        <v/>
      </c>
      <c r="N36" s="26" t="str">
        <f t="shared" si="1"/>
        <v/>
      </c>
      <c r="O36" s="26"/>
      <c r="P36" s="26" t="str">
        <f t="shared" si="2"/>
        <v/>
      </c>
      <c r="Q36" s="22"/>
      <c r="R36" s="27" t="str">
        <f t="shared" si="3"/>
        <v/>
      </c>
      <c r="S36" s="22"/>
      <c r="T36" s="22"/>
      <c r="U36" s="28"/>
    </row>
    <row r="37" spans="1:21">
      <c r="A37" s="22"/>
      <c r="B37" s="23"/>
      <c r="C37" s="22"/>
      <c r="D37" s="22"/>
      <c r="E37" s="22"/>
      <c r="F37" s="22"/>
      <c r="G37" s="24"/>
      <c r="H37" s="25"/>
      <c r="I37" s="25"/>
      <c r="J37" s="25"/>
      <c r="K37" s="25"/>
      <c r="L37" s="25"/>
      <c r="M37" s="26" t="str">
        <f t="shared" si="0"/>
        <v/>
      </c>
      <c r="N37" s="26" t="str">
        <f t="shared" si="1"/>
        <v/>
      </c>
      <c r="O37" s="26"/>
      <c r="P37" s="26" t="str">
        <f t="shared" si="2"/>
        <v/>
      </c>
      <c r="Q37" s="22"/>
      <c r="R37" s="27" t="str">
        <f t="shared" si="3"/>
        <v/>
      </c>
      <c r="S37" s="22"/>
      <c r="T37" s="22"/>
      <c r="U37" s="28"/>
    </row>
    <row r="38" spans="1:21">
      <c r="A38" s="22"/>
      <c r="B38" s="23"/>
      <c r="C38" s="22"/>
      <c r="D38" s="22"/>
      <c r="E38" s="22"/>
      <c r="F38" s="22"/>
      <c r="G38" s="24"/>
      <c r="H38" s="25"/>
      <c r="I38" s="25"/>
      <c r="J38" s="25"/>
      <c r="K38" s="25"/>
      <c r="L38" s="25"/>
      <c r="M38" s="26" t="str">
        <f t="shared" si="0"/>
        <v/>
      </c>
      <c r="N38" s="26" t="str">
        <f t="shared" si="1"/>
        <v/>
      </c>
      <c r="O38" s="26"/>
      <c r="P38" s="26" t="str">
        <f t="shared" si="2"/>
        <v/>
      </c>
      <c r="Q38" s="22"/>
      <c r="R38" s="27" t="str">
        <f t="shared" si="3"/>
        <v/>
      </c>
      <c r="S38" s="22"/>
      <c r="T38" s="22"/>
      <c r="U38" s="28"/>
    </row>
    <row r="39" spans="1:21">
      <c r="A39" s="22"/>
      <c r="B39" s="23"/>
      <c r="C39" s="22"/>
      <c r="D39" s="22"/>
      <c r="E39" s="22"/>
      <c r="F39" s="22"/>
      <c r="G39" s="24"/>
      <c r="H39" s="25"/>
      <c r="I39" s="25"/>
      <c r="J39" s="25"/>
      <c r="K39" s="25"/>
      <c r="L39" s="25"/>
      <c r="M39" s="26" t="str">
        <f t="shared" si="0"/>
        <v/>
      </c>
      <c r="N39" s="26" t="str">
        <f t="shared" si="1"/>
        <v/>
      </c>
      <c r="O39" s="26"/>
      <c r="P39" s="26" t="str">
        <f t="shared" si="2"/>
        <v/>
      </c>
      <c r="Q39" s="22"/>
      <c r="R39" s="27" t="str">
        <f t="shared" si="3"/>
        <v/>
      </c>
      <c r="S39" s="22"/>
      <c r="T39" s="22"/>
      <c r="U39" s="28"/>
    </row>
    <row r="40" spans="1:21">
      <c r="A40" s="22"/>
      <c r="B40" s="23"/>
      <c r="C40" s="22"/>
      <c r="D40" s="22"/>
      <c r="E40" s="22"/>
      <c r="F40" s="22"/>
      <c r="G40" s="24"/>
      <c r="H40" s="25"/>
      <c r="I40" s="25"/>
      <c r="J40" s="25"/>
      <c r="K40" s="25"/>
      <c r="L40" s="25"/>
      <c r="M40" s="26" t="str">
        <f t="shared" si="0"/>
        <v/>
      </c>
      <c r="N40" s="26" t="str">
        <f t="shared" si="1"/>
        <v/>
      </c>
      <c r="O40" s="26"/>
      <c r="P40" s="26" t="str">
        <f t="shared" si="2"/>
        <v/>
      </c>
      <c r="Q40" s="22"/>
      <c r="R40" s="27" t="str">
        <f t="shared" si="3"/>
        <v/>
      </c>
      <c r="S40" s="22"/>
      <c r="T40" s="22"/>
      <c r="U40" s="28"/>
    </row>
    <row r="41" spans="1:21">
      <c r="A41" s="22"/>
      <c r="B41" s="23"/>
      <c r="C41" s="22"/>
      <c r="D41" s="22"/>
      <c r="E41" s="22"/>
      <c r="F41" s="22"/>
      <c r="G41" s="24"/>
      <c r="H41" s="25"/>
      <c r="I41" s="25"/>
      <c r="J41" s="25"/>
      <c r="K41" s="25"/>
      <c r="L41" s="25"/>
      <c r="M41" s="26" t="str">
        <f t="shared" si="0"/>
        <v/>
      </c>
      <c r="N41" s="26" t="str">
        <f t="shared" si="1"/>
        <v/>
      </c>
      <c r="O41" s="26"/>
      <c r="P41" s="26" t="str">
        <f t="shared" si="2"/>
        <v/>
      </c>
      <c r="Q41" s="22"/>
      <c r="R41" s="27" t="str">
        <f t="shared" si="3"/>
        <v/>
      </c>
      <c r="S41" s="22"/>
      <c r="T41" s="22"/>
      <c r="U41" s="28"/>
    </row>
    <row r="42" spans="1:21">
      <c r="A42" s="22"/>
      <c r="B42" s="23"/>
      <c r="C42" s="22"/>
      <c r="D42" s="22"/>
      <c r="E42" s="22"/>
      <c r="F42" s="22"/>
      <c r="G42" s="24"/>
      <c r="H42" s="25"/>
      <c r="I42" s="25"/>
      <c r="J42" s="25"/>
      <c r="K42" s="25"/>
      <c r="L42" s="25"/>
      <c r="M42" s="26" t="str">
        <f t="shared" si="0"/>
        <v/>
      </c>
      <c r="N42" s="26" t="str">
        <f t="shared" si="1"/>
        <v/>
      </c>
      <c r="O42" s="26"/>
      <c r="P42" s="26" t="str">
        <f t="shared" si="2"/>
        <v/>
      </c>
      <c r="Q42" s="22"/>
      <c r="R42" s="27" t="str">
        <f t="shared" si="3"/>
        <v/>
      </c>
      <c r="S42" s="22"/>
      <c r="T42" s="22"/>
      <c r="U42" s="28"/>
    </row>
    <row r="43" spans="1:21">
      <c r="A43" s="22"/>
      <c r="B43" s="23"/>
      <c r="C43" s="22"/>
      <c r="D43" s="22"/>
      <c r="E43" s="22"/>
      <c r="F43" s="22"/>
      <c r="G43" s="24"/>
      <c r="H43" s="25"/>
      <c r="I43" s="25"/>
      <c r="J43" s="25"/>
      <c r="K43" s="25"/>
      <c r="L43" s="25"/>
      <c r="M43" s="26" t="str">
        <f t="shared" si="0"/>
        <v/>
      </c>
      <c r="N43" s="26" t="str">
        <f t="shared" si="1"/>
        <v/>
      </c>
      <c r="O43" s="26"/>
      <c r="P43" s="26" t="str">
        <f t="shared" si="2"/>
        <v/>
      </c>
      <c r="Q43" s="22"/>
      <c r="R43" s="27" t="str">
        <f t="shared" si="3"/>
        <v/>
      </c>
      <c r="S43" s="22"/>
      <c r="T43" s="22"/>
      <c r="U43" s="28"/>
    </row>
    <row r="44" spans="1:21">
      <c r="A44" s="22"/>
      <c r="B44" s="23"/>
      <c r="C44" s="22"/>
      <c r="D44" s="22"/>
      <c r="E44" s="22"/>
      <c r="F44" s="22"/>
      <c r="G44" s="24"/>
      <c r="H44" s="25"/>
      <c r="I44" s="25"/>
      <c r="J44" s="25"/>
      <c r="K44" s="25"/>
      <c r="L44" s="25"/>
      <c r="M44" s="26" t="str">
        <f t="shared" si="0"/>
        <v/>
      </c>
      <c r="N44" s="26" t="str">
        <f t="shared" si="1"/>
        <v/>
      </c>
      <c r="O44" s="26"/>
      <c r="P44" s="26" t="str">
        <f t="shared" si="2"/>
        <v/>
      </c>
      <c r="Q44" s="22"/>
      <c r="R44" s="27" t="str">
        <f t="shared" si="3"/>
        <v/>
      </c>
      <c r="S44" s="22"/>
      <c r="T44" s="22"/>
      <c r="U44" s="28"/>
    </row>
    <row r="45" spans="1:21">
      <c r="A45" s="22"/>
      <c r="B45" s="23"/>
      <c r="C45" s="22"/>
      <c r="D45" s="22"/>
      <c r="E45" s="22"/>
      <c r="F45" s="22"/>
      <c r="G45" s="24"/>
      <c r="H45" s="25"/>
      <c r="I45" s="25"/>
      <c r="J45" s="25"/>
      <c r="K45" s="25"/>
      <c r="L45" s="25"/>
      <c r="M45" s="26" t="str">
        <f t="shared" si="0"/>
        <v/>
      </c>
      <c r="N45" s="26" t="str">
        <f t="shared" si="1"/>
        <v/>
      </c>
      <c r="O45" s="26"/>
      <c r="P45" s="26" t="str">
        <f t="shared" si="2"/>
        <v/>
      </c>
      <c r="Q45" s="22"/>
      <c r="R45" s="27" t="str">
        <f t="shared" si="3"/>
        <v/>
      </c>
      <c r="S45" s="22"/>
      <c r="T45" s="22"/>
      <c r="U45" s="28"/>
    </row>
    <row r="46" spans="1:21">
      <c r="A46" s="22"/>
      <c r="B46" s="23"/>
      <c r="C46" s="22"/>
      <c r="D46" s="22"/>
      <c r="E46" s="22"/>
      <c r="F46" s="22"/>
      <c r="G46" s="24"/>
      <c r="H46" s="25"/>
      <c r="I46" s="25"/>
      <c r="J46" s="25"/>
      <c r="K46" s="25"/>
      <c r="L46" s="25"/>
      <c r="M46" s="26" t="str">
        <f t="shared" si="0"/>
        <v/>
      </c>
      <c r="N46" s="26" t="str">
        <f t="shared" si="1"/>
        <v/>
      </c>
      <c r="O46" s="26"/>
      <c r="P46" s="26" t="str">
        <f t="shared" si="2"/>
        <v/>
      </c>
      <c r="Q46" s="22"/>
      <c r="R46" s="27" t="str">
        <f t="shared" si="3"/>
        <v/>
      </c>
      <c r="S46" s="22"/>
      <c r="T46" s="22"/>
      <c r="U46" s="28"/>
    </row>
    <row r="47" spans="1:21">
      <c r="A47" s="22"/>
      <c r="B47" s="23"/>
      <c r="C47" s="22"/>
      <c r="D47" s="22"/>
      <c r="E47" s="22"/>
      <c r="F47" s="22"/>
      <c r="G47" s="24"/>
      <c r="H47" s="25"/>
      <c r="I47" s="25"/>
      <c r="J47" s="25"/>
      <c r="K47" s="25"/>
      <c r="L47" s="25"/>
      <c r="M47" s="26" t="str">
        <f t="shared" si="0"/>
        <v/>
      </c>
      <c r="N47" s="26" t="str">
        <f t="shared" si="1"/>
        <v/>
      </c>
      <c r="O47" s="26"/>
      <c r="P47" s="26" t="str">
        <f t="shared" si="2"/>
        <v/>
      </c>
      <c r="Q47" s="22"/>
      <c r="R47" s="27" t="str">
        <f t="shared" si="3"/>
        <v/>
      </c>
      <c r="S47" s="22"/>
      <c r="T47" s="22"/>
      <c r="U47" s="28"/>
    </row>
    <row r="48" spans="1:21">
      <c r="A48" s="22"/>
      <c r="B48" s="23"/>
      <c r="C48" s="22"/>
      <c r="D48" s="22"/>
      <c r="E48" s="22"/>
      <c r="F48" s="22"/>
      <c r="G48" s="24"/>
      <c r="H48" s="25"/>
      <c r="I48" s="25"/>
      <c r="J48" s="25"/>
      <c r="K48" s="25"/>
      <c r="L48" s="25"/>
      <c r="M48" s="26" t="str">
        <f t="shared" si="0"/>
        <v/>
      </c>
      <c r="N48" s="26" t="str">
        <f t="shared" si="1"/>
        <v/>
      </c>
      <c r="O48" s="26"/>
      <c r="P48" s="26" t="str">
        <f t="shared" si="2"/>
        <v/>
      </c>
      <c r="Q48" s="22"/>
      <c r="R48" s="27" t="str">
        <f t="shared" si="3"/>
        <v/>
      </c>
      <c r="S48" s="22"/>
      <c r="T48" s="22"/>
      <c r="U48" s="28"/>
    </row>
    <row r="49" spans="1:21">
      <c r="A49" s="22"/>
      <c r="B49" s="23"/>
      <c r="C49" s="22"/>
      <c r="D49" s="22"/>
      <c r="E49" s="22"/>
      <c r="F49" s="22"/>
      <c r="G49" s="24"/>
      <c r="H49" s="25"/>
      <c r="I49" s="25"/>
      <c r="J49" s="25"/>
      <c r="K49" s="25"/>
      <c r="L49" s="25"/>
      <c r="M49" s="26" t="str">
        <f t="shared" si="0"/>
        <v/>
      </c>
      <c r="N49" s="26" t="str">
        <f t="shared" si="1"/>
        <v/>
      </c>
      <c r="O49" s="26"/>
      <c r="P49" s="26" t="str">
        <f t="shared" si="2"/>
        <v/>
      </c>
      <c r="Q49" s="22"/>
      <c r="R49" s="27" t="str">
        <f t="shared" si="3"/>
        <v/>
      </c>
      <c r="S49" s="22"/>
      <c r="T49" s="22"/>
      <c r="U49" s="28"/>
    </row>
    <row r="50" spans="1:21">
      <c r="A50" s="22"/>
      <c r="B50" s="23"/>
      <c r="C50" s="22"/>
      <c r="D50" s="22"/>
      <c r="E50" s="22"/>
      <c r="F50" s="22"/>
      <c r="G50" s="24"/>
      <c r="H50" s="25"/>
      <c r="I50" s="25"/>
      <c r="J50" s="25"/>
      <c r="K50" s="25"/>
      <c r="L50" s="25"/>
      <c r="M50" s="26" t="str">
        <f t="shared" si="0"/>
        <v/>
      </c>
      <c r="N50" s="26" t="str">
        <f t="shared" si="1"/>
        <v/>
      </c>
      <c r="O50" s="26"/>
      <c r="P50" s="26" t="str">
        <f t="shared" si="2"/>
        <v/>
      </c>
      <c r="Q50" s="22"/>
      <c r="R50" s="27" t="str">
        <f t="shared" si="3"/>
        <v/>
      </c>
      <c r="S50" s="22"/>
      <c r="T50" s="22"/>
      <c r="U50" s="28"/>
    </row>
    <row r="51" spans="1:21">
      <c r="A51" s="22"/>
      <c r="B51" s="23"/>
      <c r="C51" s="22"/>
      <c r="D51" s="22"/>
      <c r="E51" s="22"/>
      <c r="F51" s="22"/>
      <c r="G51" s="24"/>
      <c r="H51" s="25"/>
      <c r="I51" s="25"/>
      <c r="J51" s="25"/>
      <c r="K51" s="25"/>
      <c r="L51" s="25"/>
      <c r="M51" s="26" t="str">
        <f t="shared" si="0"/>
        <v/>
      </c>
      <c r="N51" s="26" t="str">
        <f t="shared" si="1"/>
        <v/>
      </c>
      <c r="O51" s="26"/>
      <c r="P51" s="26" t="str">
        <f t="shared" si="2"/>
        <v/>
      </c>
      <c r="Q51" s="22"/>
      <c r="R51" s="27" t="str">
        <f t="shared" si="3"/>
        <v/>
      </c>
      <c r="S51" s="22"/>
      <c r="T51" s="22"/>
      <c r="U51" s="28"/>
    </row>
    <row r="52" spans="1:21">
      <c r="A52" s="22"/>
      <c r="B52" s="23"/>
      <c r="C52" s="22"/>
      <c r="D52" s="22"/>
      <c r="E52" s="22"/>
      <c r="F52" s="22"/>
      <c r="G52" s="24"/>
      <c r="H52" s="25"/>
      <c r="I52" s="25"/>
      <c r="J52" s="25"/>
      <c r="K52" s="25"/>
      <c r="L52" s="25"/>
      <c r="M52" s="26" t="str">
        <f t="shared" si="0"/>
        <v/>
      </c>
      <c r="N52" s="26" t="str">
        <f t="shared" si="1"/>
        <v/>
      </c>
      <c r="O52" s="26"/>
      <c r="P52" s="26" t="str">
        <f t="shared" si="2"/>
        <v/>
      </c>
      <c r="Q52" s="22"/>
      <c r="R52" s="27" t="str">
        <f t="shared" si="3"/>
        <v/>
      </c>
      <c r="S52" s="22"/>
      <c r="T52" s="22"/>
      <c r="U52" s="28"/>
    </row>
    <row r="53" spans="1:21">
      <c r="A53" s="22"/>
      <c r="B53" s="23"/>
      <c r="C53" s="22"/>
      <c r="D53" s="22"/>
      <c r="E53" s="22"/>
      <c r="F53" s="22"/>
      <c r="G53" s="24"/>
      <c r="H53" s="25"/>
      <c r="I53" s="25"/>
      <c r="J53" s="25"/>
      <c r="K53" s="25"/>
      <c r="L53" s="25"/>
      <c r="M53" s="26" t="str">
        <f t="shared" si="0"/>
        <v/>
      </c>
      <c r="N53" s="26" t="str">
        <f t="shared" si="1"/>
        <v/>
      </c>
      <c r="O53" s="26"/>
      <c r="P53" s="26" t="str">
        <f t="shared" si="2"/>
        <v/>
      </c>
      <c r="Q53" s="22"/>
      <c r="R53" s="27" t="str">
        <f t="shared" si="3"/>
        <v/>
      </c>
      <c r="S53" s="22"/>
      <c r="T53" s="22"/>
      <c r="U53" s="28"/>
    </row>
    <row r="54" spans="1:21">
      <c r="A54" s="22"/>
      <c r="B54" s="23"/>
      <c r="C54" s="22"/>
      <c r="D54" s="22"/>
      <c r="E54" s="22"/>
      <c r="F54" s="22"/>
      <c r="G54" s="24"/>
      <c r="H54" s="25"/>
      <c r="I54" s="25"/>
      <c r="J54" s="25"/>
      <c r="K54" s="25"/>
      <c r="L54" s="25"/>
      <c r="M54" s="26" t="str">
        <f t="shared" si="0"/>
        <v/>
      </c>
      <c r="N54" s="26" t="str">
        <f t="shared" si="1"/>
        <v/>
      </c>
      <c r="O54" s="26"/>
      <c r="P54" s="26" t="str">
        <f t="shared" si="2"/>
        <v/>
      </c>
      <c r="Q54" s="22"/>
      <c r="R54" s="27" t="str">
        <f t="shared" si="3"/>
        <v/>
      </c>
      <c r="S54" s="22"/>
      <c r="T54" s="22"/>
      <c r="U54" s="28"/>
    </row>
    <row r="55" spans="1:21">
      <c r="A55" s="22"/>
      <c r="B55" s="23"/>
      <c r="C55" s="22"/>
      <c r="D55" s="22"/>
      <c r="E55" s="22"/>
      <c r="F55" s="22"/>
      <c r="G55" s="24"/>
      <c r="H55" s="25"/>
      <c r="I55" s="25"/>
      <c r="J55" s="25"/>
      <c r="K55" s="25"/>
      <c r="L55" s="25"/>
      <c r="M55" s="26" t="str">
        <f t="shared" si="0"/>
        <v/>
      </c>
      <c r="N55" s="26" t="str">
        <f t="shared" si="1"/>
        <v/>
      </c>
      <c r="O55" s="26"/>
      <c r="P55" s="26" t="str">
        <f t="shared" si="2"/>
        <v/>
      </c>
      <c r="Q55" s="22"/>
      <c r="R55" s="27" t="str">
        <f t="shared" si="3"/>
        <v/>
      </c>
      <c r="S55" s="22"/>
      <c r="T55" s="22"/>
      <c r="U55" s="28"/>
    </row>
    <row r="56" spans="1:21">
      <c r="A56" s="22"/>
      <c r="B56" s="23"/>
      <c r="C56" s="22"/>
      <c r="D56" s="22"/>
      <c r="E56" s="22"/>
      <c r="F56" s="22"/>
      <c r="G56" s="24"/>
      <c r="H56" s="25"/>
      <c r="I56" s="25"/>
      <c r="J56" s="25"/>
      <c r="K56" s="25"/>
      <c r="L56" s="25"/>
      <c r="M56" s="26" t="str">
        <f t="shared" si="0"/>
        <v/>
      </c>
      <c r="N56" s="26" t="str">
        <f t="shared" si="1"/>
        <v/>
      </c>
      <c r="O56" s="26"/>
      <c r="P56" s="26" t="str">
        <f t="shared" si="2"/>
        <v/>
      </c>
      <c r="Q56" s="22"/>
      <c r="R56" s="27" t="str">
        <f t="shared" si="3"/>
        <v/>
      </c>
      <c r="S56" s="22"/>
      <c r="T56" s="22"/>
      <c r="U56" s="28"/>
    </row>
    <row r="57" spans="1:21">
      <c r="A57" s="22"/>
      <c r="B57" s="23"/>
      <c r="C57" s="22"/>
      <c r="D57" s="22"/>
      <c r="E57" s="22"/>
      <c r="F57" s="22"/>
      <c r="G57" s="24"/>
      <c r="H57" s="25"/>
      <c r="I57" s="25"/>
      <c r="J57" s="25"/>
      <c r="K57" s="25"/>
      <c r="L57" s="25"/>
      <c r="M57" s="26" t="str">
        <f t="shared" si="0"/>
        <v/>
      </c>
      <c r="N57" s="26" t="str">
        <f t="shared" si="1"/>
        <v/>
      </c>
      <c r="O57" s="26"/>
      <c r="P57" s="26" t="str">
        <f t="shared" si="2"/>
        <v/>
      </c>
      <c r="Q57" s="22"/>
      <c r="R57" s="27" t="str">
        <f t="shared" si="3"/>
        <v/>
      </c>
      <c r="S57" s="22"/>
      <c r="T57" s="22"/>
      <c r="U57" s="28"/>
    </row>
    <row r="58" spans="1:21">
      <c r="A58" s="22"/>
      <c r="B58" s="23"/>
      <c r="C58" s="22"/>
      <c r="D58" s="22"/>
      <c r="E58" s="22"/>
      <c r="F58" s="22"/>
      <c r="G58" s="24"/>
      <c r="H58" s="25"/>
      <c r="I58" s="25"/>
      <c r="J58" s="25"/>
      <c r="K58" s="25"/>
      <c r="L58" s="25"/>
      <c r="M58" s="26" t="str">
        <f t="shared" si="0"/>
        <v/>
      </c>
      <c r="N58" s="26" t="str">
        <f t="shared" si="1"/>
        <v/>
      </c>
      <c r="O58" s="26"/>
      <c r="P58" s="26" t="str">
        <f t="shared" si="2"/>
        <v/>
      </c>
      <c r="Q58" s="22"/>
      <c r="R58" s="27" t="str">
        <f t="shared" si="3"/>
        <v/>
      </c>
      <c r="S58" s="22"/>
      <c r="T58" s="22"/>
      <c r="U58" s="28"/>
    </row>
    <row r="59" spans="1:21">
      <c r="A59" s="22"/>
      <c r="B59" s="23"/>
      <c r="C59" s="22"/>
      <c r="D59" s="22"/>
      <c r="E59" s="22"/>
      <c r="F59" s="22"/>
      <c r="G59" s="24"/>
      <c r="H59" s="25"/>
      <c r="I59" s="25"/>
      <c r="J59" s="25"/>
      <c r="K59" s="25"/>
      <c r="L59" s="25"/>
      <c r="M59" s="26" t="str">
        <f t="shared" si="0"/>
        <v/>
      </c>
      <c r="N59" s="26" t="str">
        <f t="shared" si="1"/>
        <v/>
      </c>
      <c r="O59" s="26"/>
      <c r="P59" s="26" t="str">
        <f t="shared" si="2"/>
        <v/>
      </c>
      <c r="Q59" s="22"/>
      <c r="R59" s="27" t="str">
        <f t="shared" si="3"/>
        <v/>
      </c>
      <c r="S59" s="22"/>
      <c r="T59" s="22"/>
      <c r="U59" s="28"/>
    </row>
    <row r="60" spans="1:21">
      <c r="A60" s="22"/>
      <c r="B60" s="23"/>
      <c r="C60" s="22"/>
      <c r="D60" s="22"/>
      <c r="E60" s="22"/>
      <c r="F60" s="22"/>
      <c r="G60" s="24"/>
      <c r="H60" s="25"/>
      <c r="I60" s="25"/>
      <c r="J60" s="25"/>
      <c r="K60" s="25"/>
      <c r="L60" s="25"/>
      <c r="M60" s="26" t="str">
        <f t="shared" si="0"/>
        <v/>
      </c>
      <c r="N60" s="26" t="str">
        <f t="shared" si="1"/>
        <v/>
      </c>
      <c r="O60" s="26"/>
      <c r="P60" s="26" t="str">
        <f t="shared" si="2"/>
        <v/>
      </c>
      <c r="Q60" s="22"/>
      <c r="R60" s="27" t="str">
        <f t="shared" si="3"/>
        <v/>
      </c>
      <c r="S60" s="22"/>
      <c r="T60" s="22"/>
      <c r="U60" s="28"/>
    </row>
    <row r="61" spans="1:21">
      <c r="A61" s="22"/>
      <c r="B61" s="23"/>
      <c r="C61" s="22"/>
      <c r="D61" s="22"/>
      <c r="E61" s="22"/>
      <c r="F61" s="22"/>
      <c r="G61" s="24"/>
      <c r="H61" s="25"/>
      <c r="I61" s="25"/>
      <c r="J61" s="25"/>
      <c r="K61" s="25"/>
      <c r="L61" s="25"/>
      <c r="M61" s="26" t="str">
        <f t="shared" si="0"/>
        <v/>
      </c>
      <c r="N61" s="26" t="str">
        <f t="shared" si="1"/>
        <v/>
      </c>
      <c r="O61" s="26"/>
      <c r="P61" s="26" t="str">
        <f t="shared" si="2"/>
        <v/>
      </c>
      <c r="Q61" s="22"/>
      <c r="R61" s="27" t="str">
        <f t="shared" si="3"/>
        <v/>
      </c>
      <c r="S61" s="22"/>
      <c r="T61" s="22"/>
      <c r="U61" s="28"/>
    </row>
    <row r="62" spans="1:21">
      <c r="A62" s="22"/>
      <c r="B62" s="23"/>
      <c r="C62" s="22"/>
      <c r="D62" s="22"/>
      <c r="E62" s="22"/>
      <c r="F62" s="22"/>
      <c r="G62" s="24"/>
      <c r="H62" s="25"/>
      <c r="I62" s="25"/>
      <c r="J62" s="25"/>
      <c r="K62" s="25"/>
      <c r="L62" s="25"/>
      <c r="M62" s="26" t="str">
        <f t="shared" si="0"/>
        <v/>
      </c>
      <c r="N62" s="26" t="str">
        <f t="shared" si="1"/>
        <v/>
      </c>
      <c r="O62" s="26"/>
      <c r="P62" s="26" t="str">
        <f t="shared" si="2"/>
        <v/>
      </c>
      <c r="Q62" s="22"/>
      <c r="R62" s="27" t="str">
        <f t="shared" si="3"/>
        <v/>
      </c>
      <c r="S62" s="22"/>
      <c r="T62" s="22"/>
      <c r="U62" s="28"/>
    </row>
    <row r="63" spans="1:21">
      <c r="A63" s="22"/>
      <c r="B63" s="23"/>
      <c r="C63" s="22"/>
      <c r="D63" s="22"/>
      <c r="E63" s="22"/>
      <c r="F63" s="22"/>
      <c r="G63" s="24"/>
      <c r="H63" s="25"/>
      <c r="I63" s="25"/>
      <c r="J63" s="25"/>
      <c r="K63" s="25"/>
      <c r="L63" s="25"/>
      <c r="M63" s="26" t="str">
        <f t="shared" si="0"/>
        <v/>
      </c>
      <c r="N63" s="26" t="str">
        <f t="shared" si="1"/>
        <v/>
      </c>
      <c r="O63" s="26"/>
      <c r="P63" s="26" t="str">
        <f t="shared" si="2"/>
        <v/>
      </c>
      <c r="Q63" s="22"/>
      <c r="R63" s="27" t="str">
        <f t="shared" si="3"/>
        <v/>
      </c>
      <c r="S63" s="22"/>
      <c r="T63" s="22"/>
      <c r="U63" s="28"/>
    </row>
    <row r="64" spans="1:21">
      <c r="A64" s="22"/>
      <c r="B64" s="23"/>
      <c r="C64" s="22"/>
      <c r="D64" s="22"/>
      <c r="E64" s="22"/>
      <c r="F64" s="22"/>
      <c r="G64" s="24"/>
      <c r="H64" s="25"/>
      <c r="I64" s="25"/>
      <c r="J64" s="25"/>
      <c r="K64" s="25"/>
      <c r="L64" s="25"/>
      <c r="M64" s="26" t="str">
        <f t="shared" si="0"/>
        <v/>
      </c>
      <c r="N64" s="26" t="str">
        <f t="shared" si="1"/>
        <v/>
      </c>
      <c r="O64" s="26"/>
      <c r="P64" s="26" t="str">
        <f t="shared" si="2"/>
        <v/>
      </c>
      <c r="Q64" s="22"/>
      <c r="R64" s="27" t="str">
        <f t="shared" si="3"/>
        <v/>
      </c>
      <c r="S64" s="22"/>
      <c r="T64" s="22"/>
      <c r="U64" s="28"/>
    </row>
    <row r="65" spans="1:21">
      <c r="A65" s="22"/>
      <c r="B65" s="23"/>
      <c r="C65" s="22"/>
      <c r="D65" s="22"/>
      <c r="E65" s="22"/>
      <c r="F65" s="22"/>
      <c r="G65" s="24"/>
      <c r="H65" s="25"/>
      <c r="I65" s="25"/>
      <c r="J65" s="25"/>
      <c r="K65" s="25"/>
      <c r="L65" s="25"/>
      <c r="M65" s="26" t="str">
        <f t="shared" si="0"/>
        <v/>
      </c>
      <c r="N65" s="26" t="str">
        <f t="shared" si="1"/>
        <v/>
      </c>
      <c r="O65" s="26"/>
      <c r="P65" s="26" t="str">
        <f t="shared" si="2"/>
        <v/>
      </c>
      <c r="Q65" s="22"/>
      <c r="R65" s="27" t="str">
        <f t="shared" si="3"/>
        <v/>
      </c>
      <c r="S65" s="22"/>
      <c r="T65" s="22"/>
      <c r="U65" s="28"/>
    </row>
    <row r="66" spans="1:21">
      <c r="A66" s="22"/>
      <c r="B66" s="23"/>
      <c r="C66" s="22"/>
      <c r="D66" s="22"/>
      <c r="E66" s="22"/>
      <c r="F66" s="22"/>
      <c r="G66" s="24"/>
      <c r="H66" s="25"/>
      <c r="I66" s="25"/>
      <c r="J66" s="25"/>
      <c r="K66" s="25"/>
      <c r="L66" s="25"/>
      <c r="M66" s="26" t="str">
        <f t="shared" si="0"/>
        <v/>
      </c>
      <c r="N66" s="26" t="str">
        <f t="shared" si="1"/>
        <v/>
      </c>
      <c r="O66" s="26"/>
      <c r="P66" s="26" t="str">
        <f t="shared" si="2"/>
        <v/>
      </c>
      <c r="Q66" s="22"/>
      <c r="R66" s="27" t="str">
        <f t="shared" si="3"/>
        <v/>
      </c>
      <c r="S66" s="22"/>
      <c r="T66" s="22"/>
      <c r="U66" s="28"/>
    </row>
    <row r="67" spans="1:21">
      <c r="A67" s="22"/>
      <c r="B67" s="23"/>
      <c r="C67" s="22"/>
      <c r="D67" s="22"/>
      <c r="E67" s="22"/>
      <c r="F67" s="22"/>
      <c r="G67" s="24"/>
      <c r="H67" s="25"/>
      <c r="I67" s="25"/>
      <c r="J67" s="25"/>
      <c r="K67" s="25"/>
      <c r="L67" s="25"/>
      <c r="M67" s="26" t="str">
        <f t="shared" si="0"/>
        <v/>
      </c>
      <c r="N67" s="26" t="str">
        <f t="shared" si="1"/>
        <v/>
      </c>
      <c r="O67" s="26"/>
      <c r="P67" s="26" t="str">
        <f t="shared" si="2"/>
        <v/>
      </c>
      <c r="Q67" s="22"/>
      <c r="R67" s="27" t="str">
        <f t="shared" si="3"/>
        <v/>
      </c>
      <c r="S67" s="22"/>
      <c r="T67" s="22"/>
      <c r="U67" s="28"/>
    </row>
    <row r="68" spans="1:21">
      <c r="A68" s="22"/>
      <c r="B68" s="23"/>
      <c r="C68" s="22"/>
      <c r="D68" s="22"/>
      <c r="E68" s="22"/>
      <c r="F68" s="22"/>
      <c r="G68" s="24"/>
      <c r="H68" s="25"/>
      <c r="I68" s="25"/>
      <c r="J68" s="25"/>
      <c r="K68" s="25"/>
      <c r="L68" s="25"/>
      <c r="M68" s="26" t="str">
        <f t="shared" si="0"/>
        <v/>
      </c>
      <c r="N68" s="26" t="str">
        <f t="shared" si="1"/>
        <v/>
      </c>
      <c r="O68" s="26"/>
      <c r="P68" s="26" t="str">
        <f t="shared" si="2"/>
        <v/>
      </c>
      <c r="Q68" s="22"/>
      <c r="R68" s="27" t="str">
        <f t="shared" si="3"/>
        <v/>
      </c>
      <c r="S68" s="22"/>
      <c r="T68" s="22"/>
      <c r="U68" s="28"/>
    </row>
    <row r="69" spans="1:21">
      <c r="A69" s="22"/>
      <c r="B69" s="23"/>
      <c r="C69" s="22"/>
      <c r="D69" s="22"/>
      <c r="E69" s="22"/>
      <c r="F69" s="22"/>
      <c r="G69" s="24"/>
      <c r="H69" s="25"/>
      <c r="I69" s="25"/>
      <c r="J69" s="25"/>
      <c r="K69" s="25"/>
      <c r="L69" s="25"/>
      <c r="M69" s="26" t="str">
        <f t="shared" ref="M69:M104" si="4">IF($A69="","",SUM($I69:$L69))</f>
        <v/>
      </c>
      <c r="N69" s="26" t="str">
        <f t="shared" ref="N69:N104" si="5">IF($A69="","",$H69-$M69)</f>
        <v/>
      </c>
      <c r="O69" s="26"/>
      <c r="P69" s="26" t="str">
        <f t="shared" ref="P69:P104" si="6">IF($A69="","",MAX(0,$H69-$O69))</f>
        <v/>
      </c>
      <c r="Q69" s="22"/>
      <c r="R69" s="27" t="str">
        <f t="shared" ref="R69:R104" si="7">IF($A69="","",IF($H69=0,"No Revenue",IF($O69&gt;=$H69,"Paid",IF($O69&gt;0,"Partial","Unpaid"))))</f>
        <v/>
      </c>
      <c r="S69" s="22"/>
      <c r="T69" s="22"/>
      <c r="U69" s="28"/>
    </row>
    <row r="70" spans="1:21">
      <c r="A70" s="22"/>
      <c r="B70" s="23"/>
      <c r="C70" s="22"/>
      <c r="D70" s="22"/>
      <c r="E70" s="22"/>
      <c r="F70" s="22"/>
      <c r="G70" s="24"/>
      <c r="H70" s="25"/>
      <c r="I70" s="25"/>
      <c r="J70" s="25"/>
      <c r="K70" s="25"/>
      <c r="L70" s="25"/>
      <c r="M70" s="26" t="str">
        <f t="shared" si="4"/>
        <v/>
      </c>
      <c r="N70" s="26" t="str">
        <f t="shared" si="5"/>
        <v/>
      </c>
      <c r="O70" s="26"/>
      <c r="P70" s="26" t="str">
        <f t="shared" si="6"/>
        <v/>
      </c>
      <c r="Q70" s="22"/>
      <c r="R70" s="27" t="str">
        <f t="shared" si="7"/>
        <v/>
      </c>
      <c r="S70" s="22"/>
      <c r="T70" s="22"/>
      <c r="U70" s="28"/>
    </row>
    <row r="71" spans="1:21">
      <c r="A71" s="22"/>
      <c r="B71" s="23"/>
      <c r="C71" s="22"/>
      <c r="D71" s="22"/>
      <c r="E71" s="22"/>
      <c r="F71" s="22"/>
      <c r="G71" s="24"/>
      <c r="H71" s="25"/>
      <c r="I71" s="25"/>
      <c r="J71" s="25"/>
      <c r="K71" s="25"/>
      <c r="L71" s="25"/>
      <c r="M71" s="26" t="str">
        <f t="shared" si="4"/>
        <v/>
      </c>
      <c r="N71" s="26" t="str">
        <f t="shared" si="5"/>
        <v/>
      </c>
      <c r="O71" s="26"/>
      <c r="P71" s="26" t="str">
        <f t="shared" si="6"/>
        <v/>
      </c>
      <c r="Q71" s="22"/>
      <c r="R71" s="27" t="str">
        <f t="shared" si="7"/>
        <v/>
      </c>
      <c r="S71" s="22"/>
      <c r="T71" s="22"/>
      <c r="U71" s="28"/>
    </row>
    <row r="72" spans="1:21">
      <c r="A72" s="22"/>
      <c r="B72" s="23"/>
      <c r="C72" s="22"/>
      <c r="D72" s="22"/>
      <c r="E72" s="22"/>
      <c r="F72" s="22"/>
      <c r="G72" s="24"/>
      <c r="H72" s="25"/>
      <c r="I72" s="25"/>
      <c r="J72" s="25"/>
      <c r="K72" s="25"/>
      <c r="L72" s="25"/>
      <c r="M72" s="26" t="str">
        <f t="shared" si="4"/>
        <v/>
      </c>
      <c r="N72" s="26" t="str">
        <f t="shared" si="5"/>
        <v/>
      </c>
      <c r="O72" s="26"/>
      <c r="P72" s="26" t="str">
        <f t="shared" si="6"/>
        <v/>
      </c>
      <c r="Q72" s="22"/>
      <c r="R72" s="27" t="str">
        <f t="shared" si="7"/>
        <v/>
      </c>
      <c r="S72" s="22"/>
      <c r="T72" s="22"/>
      <c r="U72" s="28"/>
    </row>
    <row r="73" spans="1:21">
      <c r="A73" s="22"/>
      <c r="B73" s="23"/>
      <c r="C73" s="22"/>
      <c r="D73" s="22"/>
      <c r="E73" s="22"/>
      <c r="F73" s="22"/>
      <c r="G73" s="24"/>
      <c r="H73" s="25"/>
      <c r="I73" s="25"/>
      <c r="J73" s="25"/>
      <c r="K73" s="25"/>
      <c r="L73" s="25"/>
      <c r="M73" s="26" t="str">
        <f t="shared" si="4"/>
        <v/>
      </c>
      <c r="N73" s="26" t="str">
        <f t="shared" si="5"/>
        <v/>
      </c>
      <c r="O73" s="26"/>
      <c r="P73" s="26" t="str">
        <f t="shared" si="6"/>
        <v/>
      </c>
      <c r="Q73" s="22"/>
      <c r="R73" s="27" t="str">
        <f t="shared" si="7"/>
        <v/>
      </c>
      <c r="S73" s="22"/>
      <c r="T73" s="22"/>
      <c r="U73" s="28"/>
    </row>
    <row r="74" spans="1:21">
      <c r="A74" s="22"/>
      <c r="B74" s="23"/>
      <c r="C74" s="22"/>
      <c r="D74" s="22"/>
      <c r="E74" s="22"/>
      <c r="F74" s="22"/>
      <c r="G74" s="24"/>
      <c r="H74" s="25"/>
      <c r="I74" s="25"/>
      <c r="J74" s="25"/>
      <c r="K74" s="25"/>
      <c r="L74" s="25"/>
      <c r="M74" s="26" t="str">
        <f t="shared" si="4"/>
        <v/>
      </c>
      <c r="N74" s="26" t="str">
        <f t="shared" si="5"/>
        <v/>
      </c>
      <c r="O74" s="26"/>
      <c r="P74" s="26" t="str">
        <f t="shared" si="6"/>
        <v/>
      </c>
      <c r="Q74" s="22"/>
      <c r="R74" s="27" t="str">
        <f t="shared" si="7"/>
        <v/>
      </c>
      <c r="S74" s="22"/>
      <c r="T74" s="22"/>
      <c r="U74" s="28"/>
    </row>
    <row r="75" spans="1:21">
      <c r="A75" s="22"/>
      <c r="B75" s="23"/>
      <c r="C75" s="22"/>
      <c r="D75" s="22"/>
      <c r="E75" s="22"/>
      <c r="F75" s="22"/>
      <c r="G75" s="24"/>
      <c r="H75" s="25"/>
      <c r="I75" s="25"/>
      <c r="J75" s="25"/>
      <c r="K75" s="25"/>
      <c r="L75" s="25"/>
      <c r="M75" s="26" t="str">
        <f t="shared" si="4"/>
        <v/>
      </c>
      <c r="N75" s="26" t="str">
        <f t="shared" si="5"/>
        <v/>
      </c>
      <c r="O75" s="26"/>
      <c r="P75" s="26" t="str">
        <f t="shared" si="6"/>
        <v/>
      </c>
      <c r="Q75" s="22"/>
      <c r="R75" s="27" t="str">
        <f t="shared" si="7"/>
        <v/>
      </c>
      <c r="S75" s="22"/>
      <c r="T75" s="22"/>
      <c r="U75" s="28"/>
    </row>
    <row r="76" spans="1:21">
      <c r="A76" s="22"/>
      <c r="B76" s="23"/>
      <c r="C76" s="22"/>
      <c r="D76" s="22"/>
      <c r="E76" s="22"/>
      <c r="F76" s="22"/>
      <c r="G76" s="24"/>
      <c r="H76" s="25"/>
      <c r="I76" s="25"/>
      <c r="J76" s="25"/>
      <c r="K76" s="25"/>
      <c r="L76" s="25"/>
      <c r="M76" s="26" t="str">
        <f t="shared" si="4"/>
        <v/>
      </c>
      <c r="N76" s="26" t="str">
        <f t="shared" si="5"/>
        <v/>
      </c>
      <c r="O76" s="26"/>
      <c r="P76" s="26" t="str">
        <f t="shared" si="6"/>
        <v/>
      </c>
      <c r="Q76" s="22"/>
      <c r="R76" s="27" t="str">
        <f t="shared" si="7"/>
        <v/>
      </c>
      <c r="S76" s="22"/>
      <c r="T76" s="22"/>
      <c r="U76" s="28"/>
    </row>
    <row r="77" spans="1:21">
      <c r="A77" s="22"/>
      <c r="B77" s="23"/>
      <c r="C77" s="22"/>
      <c r="D77" s="22"/>
      <c r="E77" s="22"/>
      <c r="F77" s="22"/>
      <c r="G77" s="24"/>
      <c r="H77" s="25"/>
      <c r="I77" s="25"/>
      <c r="J77" s="25"/>
      <c r="K77" s="25"/>
      <c r="L77" s="25"/>
      <c r="M77" s="26" t="str">
        <f t="shared" si="4"/>
        <v/>
      </c>
      <c r="N77" s="26" t="str">
        <f t="shared" si="5"/>
        <v/>
      </c>
      <c r="O77" s="26"/>
      <c r="P77" s="26" t="str">
        <f t="shared" si="6"/>
        <v/>
      </c>
      <c r="Q77" s="22"/>
      <c r="R77" s="27" t="str">
        <f t="shared" si="7"/>
        <v/>
      </c>
      <c r="S77" s="22"/>
      <c r="T77" s="22"/>
      <c r="U77" s="28"/>
    </row>
    <row r="78" spans="1:21">
      <c r="A78" s="22"/>
      <c r="B78" s="23"/>
      <c r="C78" s="22"/>
      <c r="D78" s="22"/>
      <c r="E78" s="22"/>
      <c r="F78" s="22"/>
      <c r="G78" s="24"/>
      <c r="H78" s="25"/>
      <c r="I78" s="25"/>
      <c r="J78" s="25"/>
      <c r="K78" s="25"/>
      <c r="L78" s="25"/>
      <c r="M78" s="26" t="str">
        <f t="shared" si="4"/>
        <v/>
      </c>
      <c r="N78" s="26" t="str">
        <f t="shared" si="5"/>
        <v/>
      </c>
      <c r="O78" s="26"/>
      <c r="P78" s="26" t="str">
        <f t="shared" si="6"/>
        <v/>
      </c>
      <c r="Q78" s="22"/>
      <c r="R78" s="27" t="str">
        <f t="shared" si="7"/>
        <v/>
      </c>
      <c r="S78" s="22"/>
      <c r="T78" s="22"/>
      <c r="U78" s="28"/>
    </row>
    <row r="79" spans="1:21">
      <c r="A79" s="22"/>
      <c r="B79" s="23"/>
      <c r="C79" s="22"/>
      <c r="D79" s="22"/>
      <c r="E79" s="22"/>
      <c r="F79" s="22"/>
      <c r="G79" s="24"/>
      <c r="H79" s="25"/>
      <c r="I79" s="25"/>
      <c r="J79" s="25"/>
      <c r="K79" s="25"/>
      <c r="L79" s="25"/>
      <c r="M79" s="26" t="str">
        <f t="shared" si="4"/>
        <v/>
      </c>
      <c r="N79" s="26" t="str">
        <f t="shared" si="5"/>
        <v/>
      </c>
      <c r="O79" s="26"/>
      <c r="P79" s="26" t="str">
        <f t="shared" si="6"/>
        <v/>
      </c>
      <c r="Q79" s="22"/>
      <c r="R79" s="27" t="str">
        <f t="shared" si="7"/>
        <v/>
      </c>
      <c r="S79" s="22"/>
      <c r="T79" s="22"/>
      <c r="U79" s="28"/>
    </row>
    <row r="80" spans="1:21">
      <c r="A80" s="22"/>
      <c r="B80" s="23"/>
      <c r="C80" s="22"/>
      <c r="D80" s="22"/>
      <c r="E80" s="22"/>
      <c r="F80" s="22"/>
      <c r="G80" s="24"/>
      <c r="H80" s="25"/>
      <c r="I80" s="25"/>
      <c r="J80" s="25"/>
      <c r="K80" s="25"/>
      <c r="L80" s="25"/>
      <c r="M80" s="26" t="str">
        <f t="shared" si="4"/>
        <v/>
      </c>
      <c r="N80" s="26" t="str">
        <f t="shared" si="5"/>
        <v/>
      </c>
      <c r="O80" s="26"/>
      <c r="P80" s="26" t="str">
        <f t="shared" si="6"/>
        <v/>
      </c>
      <c r="Q80" s="22"/>
      <c r="R80" s="27" t="str">
        <f t="shared" si="7"/>
        <v/>
      </c>
      <c r="S80" s="22"/>
      <c r="T80" s="22"/>
      <c r="U80" s="28"/>
    </row>
    <row r="81" spans="1:21">
      <c r="A81" s="22"/>
      <c r="B81" s="23"/>
      <c r="C81" s="22"/>
      <c r="D81" s="22"/>
      <c r="E81" s="22"/>
      <c r="F81" s="22"/>
      <c r="G81" s="24"/>
      <c r="H81" s="25"/>
      <c r="I81" s="25"/>
      <c r="J81" s="25"/>
      <c r="K81" s="25"/>
      <c r="L81" s="25"/>
      <c r="M81" s="26" t="str">
        <f t="shared" si="4"/>
        <v/>
      </c>
      <c r="N81" s="26" t="str">
        <f t="shared" si="5"/>
        <v/>
      </c>
      <c r="O81" s="26"/>
      <c r="P81" s="26" t="str">
        <f t="shared" si="6"/>
        <v/>
      </c>
      <c r="Q81" s="22"/>
      <c r="R81" s="27" t="str">
        <f t="shared" si="7"/>
        <v/>
      </c>
      <c r="S81" s="22"/>
      <c r="T81" s="22"/>
      <c r="U81" s="28"/>
    </row>
    <row r="82" spans="1:21">
      <c r="A82" s="22"/>
      <c r="B82" s="23"/>
      <c r="C82" s="22"/>
      <c r="D82" s="22"/>
      <c r="E82" s="22"/>
      <c r="F82" s="22"/>
      <c r="G82" s="24"/>
      <c r="H82" s="25"/>
      <c r="I82" s="25"/>
      <c r="J82" s="25"/>
      <c r="K82" s="25"/>
      <c r="L82" s="25"/>
      <c r="M82" s="26" t="str">
        <f t="shared" si="4"/>
        <v/>
      </c>
      <c r="N82" s="26" t="str">
        <f t="shared" si="5"/>
        <v/>
      </c>
      <c r="O82" s="26"/>
      <c r="P82" s="26" t="str">
        <f t="shared" si="6"/>
        <v/>
      </c>
      <c r="Q82" s="22"/>
      <c r="R82" s="27" t="str">
        <f t="shared" si="7"/>
        <v/>
      </c>
      <c r="S82" s="22"/>
      <c r="T82" s="22"/>
      <c r="U82" s="28"/>
    </row>
    <row r="83" spans="1:21">
      <c r="A83" s="22"/>
      <c r="B83" s="23"/>
      <c r="C83" s="22"/>
      <c r="D83" s="22"/>
      <c r="E83" s="22"/>
      <c r="F83" s="22"/>
      <c r="G83" s="24"/>
      <c r="H83" s="25"/>
      <c r="I83" s="25"/>
      <c r="J83" s="25"/>
      <c r="K83" s="25"/>
      <c r="L83" s="25"/>
      <c r="M83" s="26" t="str">
        <f t="shared" si="4"/>
        <v/>
      </c>
      <c r="N83" s="26" t="str">
        <f t="shared" si="5"/>
        <v/>
      </c>
      <c r="O83" s="26"/>
      <c r="P83" s="26" t="str">
        <f t="shared" si="6"/>
        <v/>
      </c>
      <c r="Q83" s="22"/>
      <c r="R83" s="27" t="str">
        <f t="shared" si="7"/>
        <v/>
      </c>
      <c r="S83" s="22"/>
      <c r="T83" s="22"/>
      <c r="U83" s="28"/>
    </row>
    <row r="84" spans="1:21">
      <c r="A84" s="22"/>
      <c r="B84" s="23"/>
      <c r="C84" s="22"/>
      <c r="D84" s="22"/>
      <c r="E84" s="22"/>
      <c r="F84" s="22"/>
      <c r="G84" s="24"/>
      <c r="H84" s="25"/>
      <c r="I84" s="25"/>
      <c r="J84" s="25"/>
      <c r="K84" s="25"/>
      <c r="L84" s="25"/>
      <c r="M84" s="26" t="str">
        <f t="shared" si="4"/>
        <v/>
      </c>
      <c r="N84" s="26" t="str">
        <f t="shared" si="5"/>
        <v/>
      </c>
      <c r="O84" s="26"/>
      <c r="P84" s="26" t="str">
        <f t="shared" si="6"/>
        <v/>
      </c>
      <c r="Q84" s="22"/>
      <c r="R84" s="27" t="str">
        <f t="shared" si="7"/>
        <v/>
      </c>
      <c r="S84" s="22"/>
      <c r="T84" s="22"/>
      <c r="U84" s="28"/>
    </row>
    <row r="85" spans="1:21">
      <c r="A85" s="22"/>
      <c r="B85" s="23"/>
      <c r="C85" s="22"/>
      <c r="D85" s="22"/>
      <c r="E85" s="22"/>
      <c r="F85" s="22"/>
      <c r="G85" s="24"/>
      <c r="H85" s="25"/>
      <c r="I85" s="25"/>
      <c r="J85" s="25"/>
      <c r="K85" s="25"/>
      <c r="L85" s="25"/>
      <c r="M85" s="26" t="str">
        <f t="shared" si="4"/>
        <v/>
      </c>
      <c r="N85" s="26" t="str">
        <f t="shared" si="5"/>
        <v/>
      </c>
      <c r="O85" s="26"/>
      <c r="P85" s="26" t="str">
        <f t="shared" si="6"/>
        <v/>
      </c>
      <c r="Q85" s="22"/>
      <c r="R85" s="27" t="str">
        <f t="shared" si="7"/>
        <v/>
      </c>
      <c r="S85" s="22"/>
      <c r="T85" s="22"/>
      <c r="U85" s="28"/>
    </row>
    <row r="86" spans="1:21">
      <c r="A86" s="22"/>
      <c r="B86" s="23"/>
      <c r="C86" s="22"/>
      <c r="D86" s="22"/>
      <c r="E86" s="22"/>
      <c r="F86" s="22"/>
      <c r="G86" s="24"/>
      <c r="H86" s="25"/>
      <c r="I86" s="25"/>
      <c r="J86" s="25"/>
      <c r="K86" s="25"/>
      <c r="L86" s="25"/>
      <c r="M86" s="26" t="str">
        <f t="shared" si="4"/>
        <v/>
      </c>
      <c r="N86" s="26" t="str">
        <f t="shared" si="5"/>
        <v/>
      </c>
      <c r="O86" s="26"/>
      <c r="P86" s="26" t="str">
        <f t="shared" si="6"/>
        <v/>
      </c>
      <c r="Q86" s="22"/>
      <c r="R86" s="27" t="str">
        <f t="shared" si="7"/>
        <v/>
      </c>
      <c r="S86" s="22"/>
      <c r="T86" s="22"/>
      <c r="U86" s="28"/>
    </row>
    <row r="87" spans="1:21">
      <c r="A87" s="22"/>
      <c r="B87" s="23"/>
      <c r="C87" s="22"/>
      <c r="D87" s="22"/>
      <c r="E87" s="22"/>
      <c r="F87" s="22"/>
      <c r="G87" s="24"/>
      <c r="H87" s="25"/>
      <c r="I87" s="25"/>
      <c r="J87" s="25"/>
      <c r="K87" s="25"/>
      <c r="L87" s="25"/>
      <c r="M87" s="26" t="str">
        <f t="shared" si="4"/>
        <v/>
      </c>
      <c r="N87" s="26" t="str">
        <f t="shared" si="5"/>
        <v/>
      </c>
      <c r="O87" s="26"/>
      <c r="P87" s="26" t="str">
        <f t="shared" si="6"/>
        <v/>
      </c>
      <c r="Q87" s="22"/>
      <c r="R87" s="27" t="str">
        <f t="shared" si="7"/>
        <v/>
      </c>
      <c r="S87" s="22"/>
      <c r="T87" s="22"/>
      <c r="U87" s="28"/>
    </row>
    <row r="88" spans="1:21">
      <c r="A88" s="22"/>
      <c r="B88" s="23"/>
      <c r="C88" s="22"/>
      <c r="D88" s="22"/>
      <c r="E88" s="22"/>
      <c r="F88" s="22"/>
      <c r="G88" s="24"/>
      <c r="H88" s="25"/>
      <c r="I88" s="25"/>
      <c r="J88" s="25"/>
      <c r="K88" s="25"/>
      <c r="L88" s="25"/>
      <c r="M88" s="26" t="str">
        <f t="shared" si="4"/>
        <v/>
      </c>
      <c r="N88" s="26" t="str">
        <f t="shared" si="5"/>
        <v/>
      </c>
      <c r="O88" s="26"/>
      <c r="P88" s="26" t="str">
        <f t="shared" si="6"/>
        <v/>
      </c>
      <c r="Q88" s="22"/>
      <c r="R88" s="27" t="str">
        <f t="shared" si="7"/>
        <v/>
      </c>
      <c r="S88" s="22"/>
      <c r="T88" s="22"/>
      <c r="U88" s="28"/>
    </row>
    <row r="89" spans="1:21">
      <c r="A89" s="22"/>
      <c r="B89" s="23"/>
      <c r="C89" s="22"/>
      <c r="D89" s="22"/>
      <c r="E89" s="22"/>
      <c r="F89" s="22"/>
      <c r="G89" s="24"/>
      <c r="H89" s="25"/>
      <c r="I89" s="25"/>
      <c r="J89" s="25"/>
      <c r="K89" s="25"/>
      <c r="L89" s="25"/>
      <c r="M89" s="26" t="str">
        <f t="shared" si="4"/>
        <v/>
      </c>
      <c r="N89" s="26" t="str">
        <f t="shared" si="5"/>
        <v/>
      </c>
      <c r="O89" s="26"/>
      <c r="P89" s="26" t="str">
        <f t="shared" si="6"/>
        <v/>
      </c>
      <c r="Q89" s="22"/>
      <c r="R89" s="27" t="str">
        <f t="shared" si="7"/>
        <v/>
      </c>
      <c r="S89" s="22"/>
      <c r="T89" s="22"/>
      <c r="U89" s="28"/>
    </row>
    <row r="90" spans="1:21">
      <c r="A90" s="22"/>
      <c r="B90" s="23"/>
      <c r="C90" s="22"/>
      <c r="D90" s="22"/>
      <c r="E90" s="22"/>
      <c r="F90" s="22"/>
      <c r="G90" s="24"/>
      <c r="H90" s="25"/>
      <c r="I90" s="25"/>
      <c r="J90" s="25"/>
      <c r="K90" s="25"/>
      <c r="L90" s="25"/>
      <c r="M90" s="26" t="str">
        <f t="shared" si="4"/>
        <v/>
      </c>
      <c r="N90" s="26" t="str">
        <f t="shared" si="5"/>
        <v/>
      </c>
      <c r="O90" s="26"/>
      <c r="P90" s="26" t="str">
        <f t="shared" si="6"/>
        <v/>
      </c>
      <c r="Q90" s="22"/>
      <c r="R90" s="27" t="str">
        <f t="shared" si="7"/>
        <v/>
      </c>
      <c r="S90" s="22"/>
      <c r="T90" s="22"/>
      <c r="U90" s="28"/>
    </row>
    <row r="91" spans="1:21">
      <c r="A91" s="22"/>
      <c r="B91" s="23"/>
      <c r="C91" s="22"/>
      <c r="D91" s="22"/>
      <c r="E91" s="22"/>
      <c r="F91" s="22"/>
      <c r="G91" s="24"/>
      <c r="H91" s="25"/>
      <c r="I91" s="25"/>
      <c r="J91" s="25"/>
      <c r="K91" s="25"/>
      <c r="L91" s="25"/>
      <c r="M91" s="26" t="str">
        <f t="shared" si="4"/>
        <v/>
      </c>
      <c r="N91" s="26" t="str">
        <f t="shared" si="5"/>
        <v/>
      </c>
      <c r="O91" s="26"/>
      <c r="P91" s="26" t="str">
        <f t="shared" si="6"/>
        <v/>
      </c>
      <c r="Q91" s="22"/>
      <c r="R91" s="27" t="str">
        <f t="shared" si="7"/>
        <v/>
      </c>
      <c r="S91" s="22"/>
      <c r="T91" s="22"/>
      <c r="U91" s="28"/>
    </row>
    <row r="92" spans="1:21">
      <c r="A92" s="22"/>
      <c r="B92" s="23"/>
      <c r="C92" s="22"/>
      <c r="D92" s="22"/>
      <c r="E92" s="22"/>
      <c r="F92" s="22"/>
      <c r="G92" s="24"/>
      <c r="H92" s="25"/>
      <c r="I92" s="25"/>
      <c r="J92" s="25"/>
      <c r="K92" s="25"/>
      <c r="L92" s="25"/>
      <c r="M92" s="26" t="str">
        <f t="shared" si="4"/>
        <v/>
      </c>
      <c r="N92" s="26" t="str">
        <f t="shared" si="5"/>
        <v/>
      </c>
      <c r="O92" s="26"/>
      <c r="P92" s="26" t="str">
        <f t="shared" si="6"/>
        <v/>
      </c>
      <c r="Q92" s="22"/>
      <c r="R92" s="27" t="str">
        <f t="shared" si="7"/>
        <v/>
      </c>
      <c r="S92" s="22"/>
      <c r="T92" s="22"/>
      <c r="U92" s="28"/>
    </row>
    <row r="93" spans="1:21">
      <c r="A93" s="22"/>
      <c r="B93" s="23"/>
      <c r="C93" s="22"/>
      <c r="D93" s="22"/>
      <c r="E93" s="22"/>
      <c r="F93" s="22"/>
      <c r="G93" s="24"/>
      <c r="H93" s="25"/>
      <c r="I93" s="25"/>
      <c r="J93" s="25"/>
      <c r="K93" s="25"/>
      <c r="L93" s="25"/>
      <c r="M93" s="26" t="str">
        <f t="shared" si="4"/>
        <v/>
      </c>
      <c r="N93" s="26" t="str">
        <f t="shared" si="5"/>
        <v/>
      </c>
      <c r="O93" s="26"/>
      <c r="P93" s="26" t="str">
        <f t="shared" si="6"/>
        <v/>
      </c>
      <c r="Q93" s="22"/>
      <c r="R93" s="27" t="str">
        <f t="shared" si="7"/>
        <v/>
      </c>
      <c r="S93" s="22"/>
      <c r="T93" s="22"/>
      <c r="U93" s="28"/>
    </row>
    <row r="94" spans="1:21">
      <c r="A94" s="22"/>
      <c r="B94" s="23"/>
      <c r="C94" s="22"/>
      <c r="D94" s="22"/>
      <c r="E94" s="22"/>
      <c r="F94" s="22"/>
      <c r="G94" s="24"/>
      <c r="H94" s="25"/>
      <c r="I94" s="25"/>
      <c r="J94" s="25"/>
      <c r="K94" s="25"/>
      <c r="L94" s="25"/>
      <c r="M94" s="26" t="str">
        <f t="shared" si="4"/>
        <v/>
      </c>
      <c r="N94" s="26" t="str">
        <f t="shared" si="5"/>
        <v/>
      </c>
      <c r="O94" s="26"/>
      <c r="P94" s="26" t="str">
        <f t="shared" si="6"/>
        <v/>
      </c>
      <c r="Q94" s="22"/>
      <c r="R94" s="27" t="str">
        <f t="shared" si="7"/>
        <v/>
      </c>
      <c r="S94" s="22"/>
      <c r="T94" s="22"/>
      <c r="U94" s="28"/>
    </row>
    <row r="95" spans="1:21">
      <c r="A95" s="22"/>
      <c r="B95" s="23"/>
      <c r="C95" s="22"/>
      <c r="D95" s="22"/>
      <c r="E95" s="22"/>
      <c r="F95" s="22"/>
      <c r="G95" s="24"/>
      <c r="H95" s="25"/>
      <c r="I95" s="25"/>
      <c r="J95" s="25"/>
      <c r="K95" s="25"/>
      <c r="L95" s="25"/>
      <c r="M95" s="26" t="str">
        <f t="shared" si="4"/>
        <v/>
      </c>
      <c r="N95" s="26" t="str">
        <f t="shared" si="5"/>
        <v/>
      </c>
      <c r="O95" s="26"/>
      <c r="P95" s="26" t="str">
        <f t="shared" si="6"/>
        <v/>
      </c>
      <c r="Q95" s="22"/>
      <c r="R95" s="27" t="str">
        <f t="shared" si="7"/>
        <v/>
      </c>
      <c r="S95" s="22"/>
      <c r="T95" s="22"/>
      <c r="U95" s="28"/>
    </row>
    <row r="96" spans="1:21">
      <c r="A96" s="22"/>
      <c r="B96" s="23"/>
      <c r="C96" s="22"/>
      <c r="D96" s="22"/>
      <c r="E96" s="22"/>
      <c r="F96" s="22"/>
      <c r="G96" s="24"/>
      <c r="H96" s="25"/>
      <c r="I96" s="25"/>
      <c r="J96" s="25"/>
      <c r="K96" s="25"/>
      <c r="L96" s="25"/>
      <c r="M96" s="26" t="str">
        <f t="shared" si="4"/>
        <v/>
      </c>
      <c r="N96" s="26" t="str">
        <f t="shared" si="5"/>
        <v/>
      </c>
      <c r="O96" s="26"/>
      <c r="P96" s="26" t="str">
        <f t="shared" si="6"/>
        <v/>
      </c>
      <c r="Q96" s="22"/>
      <c r="R96" s="27" t="str">
        <f t="shared" si="7"/>
        <v/>
      </c>
      <c r="S96" s="22"/>
      <c r="T96" s="22"/>
      <c r="U96" s="28"/>
    </row>
    <row r="97" spans="1:21">
      <c r="A97" s="22"/>
      <c r="B97" s="23"/>
      <c r="C97" s="22"/>
      <c r="D97" s="22"/>
      <c r="E97" s="22"/>
      <c r="F97" s="22"/>
      <c r="G97" s="24"/>
      <c r="H97" s="25"/>
      <c r="I97" s="25"/>
      <c r="J97" s="25"/>
      <c r="K97" s="25"/>
      <c r="L97" s="25"/>
      <c r="M97" s="26" t="str">
        <f t="shared" si="4"/>
        <v/>
      </c>
      <c r="N97" s="26" t="str">
        <f t="shared" si="5"/>
        <v/>
      </c>
      <c r="O97" s="26"/>
      <c r="P97" s="26" t="str">
        <f t="shared" si="6"/>
        <v/>
      </c>
      <c r="Q97" s="22"/>
      <c r="R97" s="27" t="str">
        <f t="shared" si="7"/>
        <v/>
      </c>
      <c r="S97" s="22"/>
      <c r="T97" s="22"/>
      <c r="U97" s="28"/>
    </row>
    <row r="98" spans="1:21">
      <c r="A98" s="22"/>
      <c r="B98" s="23"/>
      <c r="C98" s="22"/>
      <c r="D98" s="22"/>
      <c r="E98" s="22"/>
      <c r="F98" s="22"/>
      <c r="G98" s="24"/>
      <c r="H98" s="25"/>
      <c r="I98" s="25"/>
      <c r="J98" s="25"/>
      <c r="K98" s="25"/>
      <c r="L98" s="25"/>
      <c r="M98" s="26" t="str">
        <f t="shared" si="4"/>
        <v/>
      </c>
      <c r="N98" s="26" t="str">
        <f t="shared" si="5"/>
        <v/>
      </c>
      <c r="O98" s="26"/>
      <c r="P98" s="26" t="str">
        <f t="shared" si="6"/>
        <v/>
      </c>
      <c r="Q98" s="22"/>
      <c r="R98" s="27" t="str">
        <f t="shared" si="7"/>
        <v/>
      </c>
      <c r="S98" s="22"/>
      <c r="T98" s="22"/>
      <c r="U98" s="28"/>
    </row>
    <row r="99" spans="1:21">
      <c r="A99" s="22"/>
      <c r="B99" s="23"/>
      <c r="C99" s="22"/>
      <c r="D99" s="22"/>
      <c r="E99" s="22"/>
      <c r="F99" s="22"/>
      <c r="G99" s="24"/>
      <c r="H99" s="25"/>
      <c r="I99" s="25"/>
      <c r="J99" s="25"/>
      <c r="K99" s="25"/>
      <c r="L99" s="25"/>
      <c r="M99" s="26" t="str">
        <f t="shared" si="4"/>
        <v/>
      </c>
      <c r="N99" s="26" t="str">
        <f t="shared" si="5"/>
        <v/>
      </c>
      <c r="O99" s="26"/>
      <c r="P99" s="26" t="str">
        <f t="shared" si="6"/>
        <v/>
      </c>
      <c r="Q99" s="22"/>
      <c r="R99" s="27" t="str">
        <f t="shared" si="7"/>
        <v/>
      </c>
      <c r="S99" s="22"/>
      <c r="T99" s="22"/>
      <c r="U99" s="28"/>
    </row>
    <row r="100" spans="1:21">
      <c r="A100" s="22"/>
      <c r="B100" s="23"/>
      <c r="C100" s="22"/>
      <c r="D100" s="22"/>
      <c r="E100" s="22"/>
      <c r="F100" s="22"/>
      <c r="G100" s="24"/>
      <c r="H100" s="25"/>
      <c r="I100" s="25"/>
      <c r="J100" s="25"/>
      <c r="K100" s="25"/>
      <c r="L100" s="25"/>
      <c r="M100" s="26" t="str">
        <f t="shared" si="4"/>
        <v/>
      </c>
      <c r="N100" s="26" t="str">
        <f t="shared" si="5"/>
        <v/>
      </c>
      <c r="O100" s="26"/>
      <c r="P100" s="26" t="str">
        <f t="shared" si="6"/>
        <v/>
      </c>
      <c r="Q100" s="22"/>
      <c r="R100" s="27" t="str">
        <f t="shared" si="7"/>
        <v/>
      </c>
      <c r="S100" s="22"/>
      <c r="T100" s="22"/>
      <c r="U100" s="28"/>
    </row>
    <row r="101" spans="1:21">
      <c r="A101" s="22"/>
      <c r="B101" s="23"/>
      <c r="C101" s="22"/>
      <c r="D101" s="22"/>
      <c r="E101" s="22"/>
      <c r="F101" s="22"/>
      <c r="G101" s="24"/>
      <c r="H101" s="25"/>
      <c r="I101" s="25"/>
      <c r="J101" s="25"/>
      <c r="K101" s="25"/>
      <c r="L101" s="25"/>
      <c r="M101" s="26" t="str">
        <f t="shared" si="4"/>
        <v/>
      </c>
      <c r="N101" s="26" t="str">
        <f t="shared" si="5"/>
        <v/>
      </c>
      <c r="O101" s="26"/>
      <c r="P101" s="26" t="str">
        <f t="shared" si="6"/>
        <v/>
      </c>
      <c r="Q101" s="22"/>
      <c r="R101" s="27" t="str">
        <f t="shared" si="7"/>
        <v/>
      </c>
      <c r="S101" s="22"/>
      <c r="T101" s="22"/>
      <c r="U101" s="28"/>
    </row>
    <row r="102" spans="1:21">
      <c r="A102" s="22"/>
      <c r="B102" s="23"/>
      <c r="C102" s="22"/>
      <c r="D102" s="22"/>
      <c r="E102" s="22"/>
      <c r="F102" s="22"/>
      <c r="G102" s="24"/>
      <c r="H102" s="25"/>
      <c r="I102" s="25"/>
      <c r="J102" s="25"/>
      <c r="K102" s="25"/>
      <c r="L102" s="25"/>
      <c r="M102" s="26" t="str">
        <f t="shared" si="4"/>
        <v/>
      </c>
      <c r="N102" s="26" t="str">
        <f t="shared" si="5"/>
        <v/>
      </c>
      <c r="O102" s="26"/>
      <c r="P102" s="26" t="str">
        <f t="shared" si="6"/>
        <v/>
      </c>
      <c r="Q102" s="22"/>
      <c r="R102" s="27" t="str">
        <f t="shared" si="7"/>
        <v/>
      </c>
      <c r="S102" s="22"/>
      <c r="T102" s="22"/>
      <c r="U102" s="28"/>
    </row>
    <row r="103" spans="1:21">
      <c r="A103" s="22"/>
      <c r="B103" s="23"/>
      <c r="C103" s="22"/>
      <c r="D103" s="22"/>
      <c r="E103" s="22"/>
      <c r="F103" s="22"/>
      <c r="G103" s="24"/>
      <c r="H103" s="25"/>
      <c r="I103" s="25"/>
      <c r="J103" s="25"/>
      <c r="K103" s="25"/>
      <c r="L103" s="25"/>
      <c r="M103" s="26" t="str">
        <f t="shared" si="4"/>
        <v/>
      </c>
      <c r="N103" s="26" t="str">
        <f t="shared" si="5"/>
        <v/>
      </c>
      <c r="O103" s="26"/>
      <c r="P103" s="26" t="str">
        <f t="shared" si="6"/>
        <v/>
      </c>
      <c r="Q103" s="22"/>
      <c r="R103" s="27" t="str">
        <f t="shared" si="7"/>
        <v/>
      </c>
      <c r="S103" s="22"/>
      <c r="T103" s="22"/>
      <c r="U103" s="28"/>
    </row>
    <row r="104" spans="1:21">
      <c r="A104" s="22"/>
      <c r="B104" s="23"/>
      <c r="C104" s="22"/>
      <c r="D104" s="22"/>
      <c r="E104" s="22"/>
      <c r="F104" s="22"/>
      <c r="G104" s="24"/>
      <c r="H104" s="25"/>
      <c r="I104" s="25"/>
      <c r="J104" s="25"/>
      <c r="K104" s="25"/>
      <c r="L104" s="25"/>
      <c r="M104" s="26" t="str">
        <f t="shared" si="4"/>
        <v/>
      </c>
      <c r="N104" s="26" t="str">
        <f t="shared" si="5"/>
        <v/>
      </c>
      <c r="O104" s="26"/>
      <c r="P104" s="26" t="str">
        <f t="shared" si="6"/>
        <v/>
      </c>
      <c r="Q104" s="22"/>
      <c r="R104" s="27" t="str">
        <f t="shared" si="7"/>
        <v/>
      </c>
      <c r="S104" s="22"/>
      <c r="T104" s="22"/>
      <c r="U104" s="28"/>
    </row>
  </sheetData>
  <mergeCells count="3">
    <mergeCell ref="A1:U1"/>
    <mergeCell ref="A2:U2"/>
    <mergeCell ref="A3:U3"/>
  </mergeCells>
  <conditionalFormatting sqref="N5:N104">
    <cfRule type="cellIs" dxfId="0" priority="7" operator="lessThan">
      <formula>0</formula>
    </cfRule>
  </conditionalFormatting>
  <conditionalFormatting sqref="Q5:Q104">
    <cfRule type="containsText" dxfId="1" priority="1" operator="between" text="Completed">
      <formula>NOT(ISERROR(SEARCH("Completed",Q5)))</formula>
    </cfRule>
    <cfRule type="containsText" dxfId="2" priority="2" operator="between" text="Scheduled">
      <formula>NOT(ISERROR(SEARCH("Scheduled",Q5)))</formula>
    </cfRule>
    <cfRule type="containsText" dxfId="3" priority="3" operator="between" text="Cancelled">
      <formula>NOT(ISERROR(SEARCH("Cancelled",Q5)))</formula>
    </cfRule>
  </conditionalFormatting>
  <conditionalFormatting sqref="R5:R104">
    <cfRule type="containsText" dxfId="4" priority="4" operator="between" text="Paid">
      <formula>NOT(ISERROR(SEARCH("Paid",R5)))</formula>
    </cfRule>
    <cfRule type="containsText" dxfId="5" priority="5" operator="between" text="Partial">
      <formula>NOT(ISERROR(SEARCH("Partial",R5)))</formula>
    </cfRule>
    <cfRule type="containsText" dxfId="3" priority="6" operator="between" text="Unpaid">
      <formula>NOT(ISERROR(SEARCH("Unpaid",R5)))</formula>
    </cfRule>
  </conditionalFormatting>
  <dataValidations count="5">
    <dataValidation type="list" sqref="C5:C104">
      <formula1>'Setup &amp; Lists'!$B$5:$B$7</formula1>
    </dataValidation>
    <dataValidation type="list" sqref="D5:D104">
      <formula1>'Setup &amp; Lists'!$C$5:$C$13</formula1>
    </dataValidation>
    <dataValidation type="list" sqref="Q5:Q104">
      <formula1>'Setup &amp; Lists'!$D$5:$D$7</formula1>
    </dataValidation>
    <dataValidation type="list" sqref="S5:S104">
      <formula1>'Setup &amp; Lists'!$A$5:$A$9</formula1>
    </dataValidation>
    <dataValidation type="list" sqref="T5:T104">
      <formula1>'Setup &amp; Lists'!$E$5:$E$7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showGridLines="0" workbookViewId="0">
      <selection activeCell="A1" sqref="A1:F1"/>
    </sheetView>
  </sheetViews>
  <sheetFormatPr defaultColWidth="9" defaultRowHeight="14" outlineLevelCol="5"/>
  <cols>
    <col min="1" max="1" width="20" customWidth="1"/>
    <col min="2" max="5" width="22" customWidth="1"/>
    <col min="6" max="6" width="15" customWidth="1"/>
  </cols>
  <sheetData>
    <row r="1" ht="34" customHeight="1" spans="1:6">
      <c r="A1" s="1" t="s">
        <v>122</v>
      </c>
      <c r="B1" s="1" t="s">
        <v>122</v>
      </c>
      <c r="C1" s="1" t="s">
        <v>122</v>
      </c>
      <c r="D1" s="1" t="s">
        <v>122</v>
      </c>
      <c r="E1" s="1" t="s">
        <v>122</v>
      </c>
      <c r="F1" s="1" t="s">
        <v>122</v>
      </c>
    </row>
    <row r="2" ht="34" customHeight="1" spans="1:6">
      <c r="A2" s="2" t="s">
        <v>123</v>
      </c>
      <c r="B2" s="2" t="s">
        <v>123</v>
      </c>
      <c r="C2" s="2" t="s">
        <v>123</v>
      </c>
      <c r="D2" s="2" t="s">
        <v>123</v>
      </c>
      <c r="E2" s="2" t="s">
        <v>123</v>
      </c>
      <c r="F2" s="2" t="s">
        <v>123</v>
      </c>
    </row>
    <row r="4" ht="25" customHeight="1" spans="1:6">
      <c r="A4" s="3" t="s">
        <v>124</v>
      </c>
      <c r="B4" s="4" t="s">
        <v>125</v>
      </c>
      <c r="C4" s="4" t="s">
        <v>126</v>
      </c>
      <c r="D4" s="4" t="s">
        <v>42</v>
      </c>
      <c r="E4" s="4" t="s">
        <v>127</v>
      </c>
      <c r="F4" s="5" t="s">
        <v>14</v>
      </c>
    </row>
    <row r="5" spans="1:6">
      <c r="A5" s="6" t="s">
        <v>66</v>
      </c>
      <c r="B5" s="6" t="s">
        <v>47</v>
      </c>
      <c r="C5" s="6" t="s">
        <v>48</v>
      </c>
      <c r="D5" s="6" t="s">
        <v>51</v>
      </c>
      <c r="E5" s="6" t="s">
        <v>53</v>
      </c>
      <c r="F5" s="7">
        <v>46023</v>
      </c>
    </row>
    <row r="6" spans="1:6">
      <c r="A6" s="8" t="s">
        <v>52</v>
      </c>
      <c r="B6" s="8" t="s">
        <v>56</v>
      </c>
      <c r="C6" s="8" t="s">
        <v>70</v>
      </c>
      <c r="D6" s="8" t="s">
        <v>116</v>
      </c>
      <c r="E6" s="8" t="s">
        <v>60</v>
      </c>
      <c r="F6" s="9">
        <v>46054</v>
      </c>
    </row>
    <row r="7" spans="1:6">
      <c r="A7" s="8" t="s">
        <v>59</v>
      </c>
      <c r="B7" s="8" t="s">
        <v>63</v>
      </c>
      <c r="C7" s="8" t="s">
        <v>85</v>
      </c>
      <c r="D7" s="8" t="s">
        <v>120</v>
      </c>
      <c r="E7" s="8" t="s">
        <v>67</v>
      </c>
      <c r="F7" s="9">
        <v>46082</v>
      </c>
    </row>
    <row r="8" spans="1:6">
      <c r="A8" s="8" t="s">
        <v>72</v>
      </c>
      <c r="B8" s="8"/>
      <c r="C8" s="8" t="s">
        <v>57</v>
      </c>
      <c r="D8" s="8"/>
      <c r="E8" s="8"/>
      <c r="F8" s="9">
        <v>46113</v>
      </c>
    </row>
    <row r="9" spans="1:6">
      <c r="A9" s="8" t="s">
        <v>77</v>
      </c>
      <c r="B9" s="8"/>
      <c r="C9" s="8" t="s">
        <v>75</v>
      </c>
      <c r="D9" s="8"/>
      <c r="E9" s="8"/>
      <c r="F9" s="9">
        <v>46143</v>
      </c>
    </row>
    <row r="10" spans="1:6">
      <c r="A10" s="8"/>
      <c r="B10" s="8"/>
      <c r="C10" s="8" t="s">
        <v>82</v>
      </c>
      <c r="D10" s="8"/>
      <c r="E10" s="8"/>
      <c r="F10" s="9">
        <v>46174</v>
      </c>
    </row>
    <row r="11" spans="1:6">
      <c r="A11" s="8"/>
      <c r="B11" s="8"/>
      <c r="C11" s="8" t="s">
        <v>89</v>
      </c>
      <c r="D11" s="8"/>
      <c r="E11" s="8"/>
      <c r="F11" s="9">
        <v>46204</v>
      </c>
    </row>
    <row r="12" spans="1:6">
      <c r="A12" s="8"/>
      <c r="B12" s="8"/>
      <c r="C12" s="8" t="s">
        <v>96</v>
      </c>
      <c r="D12" s="8"/>
      <c r="E12" s="8"/>
      <c r="F12" s="8"/>
    </row>
    <row r="13" spans="1:6">
      <c r="A13" s="8"/>
      <c r="B13" s="8"/>
      <c r="C13" s="8" t="s">
        <v>64</v>
      </c>
      <c r="D13" s="8"/>
      <c r="E13" s="8"/>
      <c r="F13" s="8"/>
    </row>
    <row r="16" ht="16.5" spans="1:6">
      <c r="A16" s="10" t="s">
        <v>128</v>
      </c>
      <c r="B16" s="10" t="s">
        <v>128</v>
      </c>
      <c r="C16" s="10" t="s">
        <v>128</v>
      </c>
      <c r="D16" s="10" t="s">
        <v>128</v>
      </c>
      <c r="E16" s="10" t="s">
        <v>128</v>
      </c>
      <c r="F16" s="10" t="s">
        <v>128</v>
      </c>
    </row>
    <row r="17" ht="30" customHeight="1" spans="1:6">
      <c r="A17" s="11" t="s">
        <v>129</v>
      </c>
      <c r="B17" s="12" t="s">
        <v>130</v>
      </c>
      <c r="C17" s="13" t="s">
        <v>131</v>
      </c>
      <c r="D17" s="13"/>
      <c r="E17" s="13"/>
      <c r="F17" s="13"/>
    </row>
    <row r="18" ht="30" customHeight="1" spans="1:6">
      <c r="A18" s="14" t="s">
        <v>132</v>
      </c>
      <c r="B18" s="15" t="s">
        <v>133</v>
      </c>
      <c r="C18" s="16" t="s">
        <v>134</v>
      </c>
      <c r="D18" s="16"/>
      <c r="E18" s="16"/>
      <c r="F18" s="16"/>
    </row>
    <row r="19" ht="30" customHeight="1" spans="1:6">
      <c r="A19" s="14" t="s">
        <v>135</v>
      </c>
      <c r="B19" s="15" t="s">
        <v>136</v>
      </c>
      <c r="C19" s="16" t="s">
        <v>137</v>
      </c>
      <c r="D19" s="16"/>
      <c r="E19" s="16"/>
      <c r="F19" s="16"/>
    </row>
    <row r="20" ht="30" customHeight="1" spans="1:6">
      <c r="A20" s="14" t="s">
        <v>138</v>
      </c>
      <c r="B20" s="15" t="s">
        <v>139</v>
      </c>
      <c r="C20" s="16" t="s">
        <v>140</v>
      </c>
      <c r="D20" s="16"/>
      <c r="E20" s="16"/>
      <c r="F20" s="16"/>
    </row>
    <row r="21" ht="30" customHeight="1" spans="1:6">
      <c r="A21" s="14" t="s">
        <v>141</v>
      </c>
      <c r="B21" s="15" t="s">
        <v>142</v>
      </c>
      <c r="C21" s="16" t="s">
        <v>143</v>
      </c>
      <c r="D21" s="16"/>
      <c r="E21" s="16"/>
      <c r="F21" s="16"/>
    </row>
  </sheetData>
  <mergeCells count="8">
    <mergeCell ref="A1:F1"/>
    <mergeCell ref="A2:F2"/>
    <mergeCell ref="A16:F16"/>
    <mergeCell ref="C17:F17"/>
    <mergeCell ref="C18:F18"/>
    <mergeCell ref="C19:F19"/>
    <mergeCell ref="C20:F20"/>
    <mergeCell ref="C21:F2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Dashboard</vt:lpstr>
      <vt:lpstr>Trip Log</vt:lpstr>
      <vt:lpstr>Setup &amp; Lists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Awais Khan</cp:lastModifiedBy>
  <dcterms:created xsi:type="dcterms:W3CDTF">2026-08-06T07:24:38Z</dcterms:created>
  <dcterms:modified xsi:type="dcterms:W3CDTF">2026-08-06T07:44:14Z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B4DC043510F94B738964F472D17D3D36_12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